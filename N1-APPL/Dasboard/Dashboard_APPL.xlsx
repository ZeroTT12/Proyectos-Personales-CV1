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ival\Downloads\CFA preparataion\"/>
    </mc:Choice>
  </mc:AlternateContent>
  <xr:revisionPtr revIDLastSave="0" documentId="13_ncr:1_{BDF84025-6CAE-4821-9A3F-C113D02F66BD}" xr6:coauthVersionLast="47" xr6:coauthVersionMax="47" xr10:uidLastSave="{00000000-0000-0000-0000-000000000000}"/>
  <bookViews>
    <workbookView xWindow="-108" yWindow="-108" windowWidth="23256" windowHeight="13176" firstSheet="3" activeTab="3" xr2:uid="{00000000-000D-0000-FFFF-FFFF00000000}"/>
  </bookViews>
  <sheets>
    <sheet name="Data" sheetId="1" state="hidden" r:id="rId1"/>
    <sheet name="CalculosGraficos" sheetId="2" state="hidden" r:id="rId2"/>
    <sheet name="Originial_Data" sheetId="9" state="hidden" r:id="rId3"/>
    <sheet name="Dasboard" sheetId="4" r:id="rId4"/>
  </sheets>
  <definedNames>
    <definedName name="SegmentaciónDeDatos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B46" i="2"/>
  <c r="B45" i="2"/>
  <c r="AI2" i="1"/>
  <c r="AI3" i="1"/>
  <c r="AI4" i="1"/>
  <c r="AI5" i="1"/>
  <c r="AI6" i="1"/>
  <c r="AI7" i="1"/>
  <c r="AI8" i="1"/>
  <c r="AI9" i="1"/>
  <c r="AI10" i="1"/>
  <c r="AH2" i="1"/>
  <c r="AH3" i="1"/>
  <c r="AH4" i="1"/>
  <c r="AH5" i="1"/>
  <c r="AH6" i="1"/>
  <c r="AH7" i="1"/>
  <c r="AH8" i="1"/>
  <c r="AH9" i="1"/>
  <c r="AH10" i="1"/>
  <c r="M16" i="2"/>
  <c r="N16" i="2"/>
  <c r="L16" i="2"/>
  <c r="I17" i="2"/>
  <c r="H17" i="2"/>
  <c r="E17" i="2"/>
  <c r="E16" i="2"/>
  <c r="B16" i="2"/>
</calcChain>
</file>

<file path=xl/sharedStrings.xml><?xml version="1.0" encoding="utf-8"?>
<sst xmlns="http://schemas.openxmlformats.org/spreadsheetml/2006/main" count="115" uniqueCount="73">
  <si>
    <t>end</t>
  </si>
  <si>
    <t>CostOfGoodsAndServicesSold</t>
  </si>
  <si>
    <t>GrossProfit</t>
  </si>
  <si>
    <t>OperatingIncomeLoss</t>
  </si>
  <si>
    <t>ResearchAndDevelopmentExpense</t>
  </si>
  <si>
    <t>SellingGeneralAndAdministrativeExpense</t>
  </si>
  <si>
    <t>IncomeTaxExpenseBenefit</t>
  </si>
  <si>
    <t>NetIncomeLoss</t>
  </si>
  <si>
    <t>Assets</t>
  </si>
  <si>
    <t>AssetsCurrent</t>
  </si>
  <si>
    <t>Liabilities</t>
  </si>
  <si>
    <t>LiabilitiesCurrent</t>
  </si>
  <si>
    <t>StockholdersEquity</t>
  </si>
  <si>
    <t>CashAndCashEquivalentsAtCarryingValue</t>
  </si>
  <si>
    <t>MarketableSecuritiesCurrent</t>
  </si>
  <si>
    <t>LongTermDebtCurrent</t>
  </si>
  <si>
    <t>LongTermDebtNoncurrent</t>
  </si>
  <si>
    <t>PropertyPlantAndEquipmentNet</t>
  </si>
  <si>
    <t>Revenue</t>
  </si>
  <si>
    <t>LongTermDebt</t>
  </si>
  <si>
    <t>GrossMargin</t>
  </si>
  <si>
    <t>OperatingMargin</t>
  </si>
  <si>
    <t>NetMargin</t>
  </si>
  <si>
    <t>RevenueGrowth</t>
  </si>
  <si>
    <t>CostGrowth</t>
  </si>
  <si>
    <t>ROA</t>
  </si>
  <si>
    <t>ROE</t>
  </si>
  <si>
    <t>DebtToAssets</t>
  </si>
  <si>
    <t>CurrentRatio</t>
  </si>
  <si>
    <t>Year</t>
  </si>
  <si>
    <t>%liabilities</t>
  </si>
  <si>
    <t>(Todas)</t>
  </si>
  <si>
    <t>Etiquetas de columna</t>
  </si>
  <si>
    <t>Total general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</si>
  <si>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</si>
  <si>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</si>
  <si>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</si>
  <si>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</si>
  <si>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</si>
  <si>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</si>
  <si>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</si>
  <si>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</si>
  <si>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</si>
  <si>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Suma de Revenue</t>
  </si>
  <si>
    <t>Suma de CostOfGoodsAndServicesSold</t>
  </si>
  <si>
    <t>Etiquetas de fila</t>
  </si>
  <si>
    <t>Suma de RevenueGrowth</t>
  </si>
  <si>
    <t>Suma de CostGrowth</t>
  </si>
  <si>
    <t>Suma de NetMargin</t>
  </si>
  <si>
    <t>Suma de OperatingMargin</t>
  </si>
  <si>
    <t>Suma de GrossMargin</t>
  </si>
  <si>
    <t>Ingresos</t>
  </si>
  <si>
    <t>Costos</t>
  </si>
  <si>
    <t>316199 </t>
  </si>
  <si>
    <t>297392 </t>
  </si>
  <si>
    <t>68425 </t>
  </si>
  <si>
    <t>InP</t>
  </si>
  <si>
    <t>InS</t>
  </si>
  <si>
    <t>LnP%</t>
  </si>
  <si>
    <t>LnS%</t>
  </si>
  <si>
    <t>Suma de LnP%</t>
  </si>
  <si>
    <t>Porcentajes</t>
  </si>
  <si>
    <t>Lns</t>
  </si>
  <si>
    <t>Lna</t>
  </si>
  <si>
    <t>Categ</t>
  </si>
  <si>
    <t>Servicios</t>
  </si>
  <si>
    <t>Productos</t>
  </si>
  <si>
    <t xml:space="preserve">  ROE</t>
  </si>
  <si>
    <t xml:space="preserve"> ROA</t>
  </si>
  <si>
    <t>Columna1</t>
  </si>
  <si>
    <t>Deuda/Activos</t>
  </si>
  <si>
    <t>Pasivos/Activos</t>
  </si>
  <si>
    <t>Anival Augusto Orbegoso Orduña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</si>
</sst>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166" fontId="0" fillId="0" borderId="0" xfId="0" applyNumberFormat="1"/>
    <xf numFmtId="167" fontId="0" fillId="0" borderId="0" xfId="1" applyNumberFormat="1" applyFont="1"/>
    <xf numFmtId="9" fontId="0" fillId="0" borderId="0" xfId="0" applyNumberFormat="1"/>
    <xf numFmtId="167" fontId="0" fillId="0" borderId="0" xfId="0" applyNumberFormat="1"/>
    <xf numFmtId="10" fontId="0" fillId="0" borderId="0" xfId="0" applyNumberFormat="1"/>
    <xf numFmtId="9" fontId="0" fillId="0" borderId="0" xfId="1" applyFont="1"/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/>
    <xf numFmtId="2" fontId="0" fillId="0" borderId="0" xfId="1" applyNumberFormat="1" applyFont="1"/>
    <xf numFmtId="0" fontId="0" fillId="0" borderId="0" xfId="0" applyNumberFormat="1"/>
    <xf numFmtId="0" fontId="6" fillId="2" borderId="0" xfId="0" applyFont="1" applyFill="1"/>
  </cellXfs>
  <cellStyles count="2">
    <cellStyle name="Normal" xfId="0" builtinId="0"/>
    <cellStyle name="Porcentaje" xfId="1" builtinId="5"/>
  </cellStyles>
  <dxfs count="36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z val="10"/>
        <color theme="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Estilo de segmentación de datos 1" pivot="0" table="0" count="4" xr9:uid="{7037ABC0-AE07-4AFC-A72B-A2E35D56F4BC}">
      <tableStyleElement type="wholeTable" dxfId="35"/>
      <tableStyleElement type="headerRow" dxfId="34"/>
    </tableStyle>
    <tableStyle name="Invisible" pivot="0" table="0" count="0" xr9:uid="{FE8E6A6F-FD3D-44C9-A1D1-2E172C1EFAE0}"/>
  </tableStyles>
  <extLst>
    <ext xmlns:x14="http://schemas.microsoft.com/office/spreadsheetml/2009/9/main" uri="{46F421CA-312F-682f-3DD2-61675219B42D}">
      <x14:dxfs count="2">
        <dxf>
          <font>
            <b/>
            <i/>
            <u val="none"/>
            <color theme="0"/>
          </font>
          <fill>
            <patternFill>
              <bgColor theme="3" tint="0.39994506668294322"/>
            </patternFill>
          </fill>
          <border>
            <left style="thick">
              <color theme="3"/>
            </left>
            <right style="thick">
              <color theme="3"/>
            </right>
            <top style="thick">
              <color theme="3"/>
            </top>
            <bottom style="thick">
              <color theme="3"/>
            </bottom>
          </border>
        </dxf>
        <dxf>
          <font>
            <color theme="0"/>
          </font>
          <fill>
            <patternFill>
              <bgColor theme="4" tint="0.79998168889431442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[Data_APPL_Final_Presentar.xlsx]CalculosGraficos!TablaDinámica7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Ingresos</a:t>
            </a:r>
            <a:r>
              <a:rPr lang="es-PE" baseline="0"/>
              <a:t> y Costos</a:t>
            </a:r>
            <a:endParaRPr lang="es-PE"/>
          </a:p>
        </c:rich>
      </c:tx>
      <c:layout>
        <c:manualLayout>
          <c:xMode val="edge"/>
          <c:yMode val="edge"/>
          <c:x val="0.41933033664047126"/>
          <c:y val="2.6455026455026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984662474375453E-2"/>
          <c:y val="8.1569664902998232E-2"/>
          <c:w val="0.92609419057221953"/>
          <c:h val="0.79224482356372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CalculosGraficos!$E$20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40-4229-825F-9458B41062B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40-4229-825F-9458B41062B6}"/>
              </c:ext>
            </c:extLst>
          </c:dPt>
          <c:dLbls>
            <c:dLbl>
              <c:idx val="2"/>
              <c:layout>
                <c:manualLayout>
                  <c:x val="1.6291951775822744E-3"/>
                  <c:y val="-4.62962962962961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40-4229-825F-9458B41062B6}"/>
                </c:ext>
              </c:extLst>
            </c:dLbl>
            <c:dLbl>
              <c:idx val="6"/>
              <c:layout>
                <c:manualLayout>
                  <c:x val="-6.5167807103290974E-3"/>
                  <c:y val="-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40-4229-825F-9458B41062B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CalculosGraficos!$D$21:$D$29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CalculosGraficos!$E$21:$E$29</c:f>
              <c:numCache>
                <c:formatCode>0%</c:formatCode>
                <c:ptCount val="9"/>
                <c:pt idx="0">
                  <c:v>6.304518199398057E-2</c:v>
                </c:pt>
                <c:pt idx="1">
                  <c:v>0.15861957650261299</c:v>
                </c:pt>
                <c:pt idx="2">
                  <c:v>-2.04107758052674E-2</c:v>
                </c:pt>
                <c:pt idx="3">
                  <c:v>5.5120803769784787E-2</c:v>
                </c:pt>
                <c:pt idx="4">
                  <c:v>0.33259384733074698</c:v>
                </c:pt>
                <c:pt idx="5">
                  <c:v>7.7937876041846099E-2</c:v>
                </c:pt>
                <c:pt idx="6">
                  <c:v>-2.800460530319937E-2</c:v>
                </c:pt>
                <c:pt idx="7">
                  <c:v>2.021994077514111E-2</c:v>
                </c:pt>
                <c:pt idx="8">
                  <c:v>6.425511782832749E-2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0-4229-825F-9458B41062B6}"/>
            </c:ext>
          </c:extLst>
        </c:ser>
        <c:ser>
          <c:idx val="1"/>
          <c:order val="1"/>
          <c:tx>
            <c:strRef>
              <c:f>CalculosGraficos!$F$20</c:f>
              <c:strCache>
                <c:ptCount val="1"/>
                <c:pt idx="0">
                  <c:v>Costos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40-4229-825F-9458B41062B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840-4229-825F-9458B41062B6}"/>
              </c:ext>
            </c:extLst>
          </c:dPt>
          <c:dLbls>
            <c:dLbl>
              <c:idx val="2"/>
              <c:layout>
                <c:manualLayout>
                  <c:x val="3.2583903551645487E-3"/>
                  <c:y val="-4.6295931758530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0-4229-825F-9458B41062B6}"/>
                </c:ext>
              </c:extLst>
            </c:dLbl>
            <c:dLbl>
              <c:idx val="7"/>
              <c:layout>
                <c:manualLayout>
                  <c:x val="4.8875855327468231E-3"/>
                  <c:y val="0.138889253426655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40-4229-825F-9458B41062B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CalculosGraficos!$D$21:$D$29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CalculosGraficos!$F$21:$F$29</c:f>
              <c:numCache>
                <c:formatCode>0%</c:formatCode>
                <c:ptCount val="9"/>
                <c:pt idx="0">
                  <c:v>7.3620752648885679E-2</c:v>
                </c:pt>
                <c:pt idx="1">
                  <c:v>0.16099483863649261</c:v>
                </c:pt>
                <c:pt idx="2">
                  <c:v>-1.205452013972008E-2</c:v>
                </c:pt>
                <c:pt idx="3">
                  <c:v>4.8070860787973853E-2</c:v>
                </c:pt>
                <c:pt idx="4">
                  <c:v>0.25608785142634721</c:v>
                </c:pt>
                <c:pt idx="5">
                  <c:v>4.960536385874792E-2</c:v>
                </c:pt>
                <c:pt idx="6">
                  <c:v>-4.208977123276636E-2</c:v>
                </c:pt>
                <c:pt idx="7">
                  <c:v>-1.7675600199872021E-2</c:v>
                </c:pt>
                <c:pt idx="8">
                  <c:v>5.0429755837833712E-2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0-4229-825F-9458B4106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79057760"/>
        <c:axId val="1779056800"/>
      </c:bar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>
                <a:solidFill>
                  <a:schemeClr val="tx1"/>
                </a:solidFill>
                <a:latin typeface="Amasis MT Pro Medium" panose="02040604050005020304" pitchFamily="18" charset="0"/>
              </a:rPr>
              <a:t>Segmentación</a:t>
            </a:r>
            <a:r>
              <a:rPr lang="es-PE" baseline="0">
                <a:solidFill>
                  <a:schemeClr val="tx1"/>
                </a:solidFill>
                <a:latin typeface="Amasis MT Pro Medium" panose="02040604050005020304" pitchFamily="18" charset="0"/>
              </a:rPr>
              <a:t> de Ingresos</a:t>
            </a:r>
            <a:endParaRPr lang="es-PE">
              <a:solidFill>
                <a:schemeClr val="tx1"/>
              </a:solidFill>
              <a:latin typeface="Amasis MT Pro Medium" panose="02040604050005020304" pitchFamily="18" charset="0"/>
            </a:endParaRPr>
          </a:p>
        </c:rich>
      </c:tx>
      <c:layout>
        <c:manualLayout>
          <c:xMode val="edge"/>
          <c:yMode val="edge"/>
          <c:x val="0.28321916010498688"/>
          <c:y val="4.9603018372703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984662474375453E-2"/>
          <c:y val="0.18805118110236221"/>
          <c:w val="0.92609419057221953"/>
          <c:h val="0.68576334208223977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CalculosGraficos!$B$33</c:f>
              <c:strCache>
                <c:ptCount val="1"/>
                <c:pt idx="0">
                  <c:v>Productos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20F6-42F5-B902-05B5D3F6C4A4}"/>
              </c:ext>
            </c:extLst>
          </c:dPt>
          <c:dLbls>
            <c:dLbl>
              <c:idx val="6"/>
              <c:layout>
                <c:manualLayout>
                  <c:x val="-6.5167807103290974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6-42F5-B902-05B5D3F6C4A4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CalculosGraficos!$A$34:$A$42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CalculosGraficos!$B$34:$B$42</c:f>
              <c:numCache>
                <c:formatCode>General</c:formatCode>
                <c:ptCount val="9"/>
                <c:pt idx="0">
                  <c:v>0.85735100377779916</c:v>
                </c:pt>
                <c:pt idx="1">
                  <c:v>0.85034356821476309</c:v>
                </c:pt>
                <c:pt idx="2">
                  <c:v>0.82207676401177676</c:v>
                </c:pt>
                <c:pt idx="3">
                  <c:v>0.80413456459574162</c:v>
                </c:pt>
                <c:pt idx="4">
                  <c:v>0.81295292454970658</c:v>
                </c:pt>
                <c:pt idx="5">
                  <c:v>0.80186798807084458</c:v>
                </c:pt>
                <c:pt idx="6">
                  <c:v>0.77771110270425403</c:v>
                </c:pt>
                <c:pt idx="7">
                  <c:v>0.75406549285869551</c:v>
                </c:pt>
                <c:pt idx="8">
                  <c:v>0.73770247572453929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0-4229-825F-9458B41062B6}"/>
            </c:ext>
          </c:extLst>
        </c:ser>
        <c:ser>
          <c:idx val="1"/>
          <c:order val="1"/>
          <c:tx>
            <c:strRef>
              <c:f>CalculosGraficos!$C$33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0F6-42F5-B902-05B5D3F6C4A4}"/>
              </c:ext>
            </c:extLst>
          </c:dPt>
          <c:dLbls>
            <c:dLbl>
              <c:idx val="7"/>
              <c:layout>
                <c:manualLayout>
                  <c:x val="4.8875855327468231E-3"/>
                  <c:y val="0.138889253426655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6-42F5-B902-05B5D3F6C4A4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CalculosGraficos!$A$34:$A$42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CalculosGraficos!$C$34:$C$42</c:f>
              <c:numCache>
                <c:formatCode>General</c:formatCode>
                <c:ptCount val="9"/>
                <c:pt idx="0">
                  <c:v>0.1426489962222009</c:v>
                </c:pt>
                <c:pt idx="1">
                  <c:v>0.14965643178523691</c:v>
                </c:pt>
                <c:pt idx="2">
                  <c:v>0.17792323598822327</c:v>
                </c:pt>
                <c:pt idx="3">
                  <c:v>0.19586543540425841</c:v>
                </c:pt>
                <c:pt idx="4">
                  <c:v>0.18704707545029345</c:v>
                </c:pt>
                <c:pt idx="5">
                  <c:v>0.19813201192915542</c:v>
                </c:pt>
                <c:pt idx="6">
                  <c:v>0.222288897295746</c:v>
                </c:pt>
                <c:pt idx="7">
                  <c:v>0.24593450714130449</c:v>
                </c:pt>
                <c:pt idx="8">
                  <c:v>0.26229752427546071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0-4229-825F-9458B41062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779057760"/>
        <c:axId val="1779056800"/>
        <c:axId val="0"/>
      </c:bar3D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b="1"/>
              <a:t>ROA Y ROE</a:t>
            </a:r>
          </a:p>
        </c:rich>
      </c:tx>
      <c:layout>
        <c:manualLayout>
          <c:xMode val="edge"/>
          <c:yMode val="edge"/>
          <c:x val="0.41933027121609801"/>
          <c:y val="6.2901030323337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797900262477374E-4"/>
              <c:y val="1.3889253426655002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175853018372707E-2"/>
          <c:y val="0.11712912548165522"/>
          <c:w val="0.92609419057221953"/>
          <c:h val="0.68576334208223977"/>
        </c:manualLayout>
      </c:layout>
      <c:lineChart>
        <c:grouping val="standard"/>
        <c:varyColors val="0"/>
        <c:ser>
          <c:idx val="0"/>
          <c:order val="0"/>
          <c:tx>
            <c:strRef>
              <c:f>CalculosGraficos!$E$54</c:f>
              <c:strCache>
                <c:ptCount val="1"/>
                <c:pt idx="0">
                  <c:v>  ROE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0F6-42F5-B902-05B5D3F6C4A4}"/>
              </c:ext>
            </c:extLst>
          </c:dPt>
          <c:dLbls>
            <c:dLbl>
              <c:idx val="6"/>
              <c:layout>
                <c:manualLayout>
                  <c:x val="-6.5167807103290974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6-42F5-B902-05B5D3F6C4A4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CalculosGraficos!$D$55:$D$63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CalculosGraficos!$E$55:$E$63</c:f>
              <c:numCache>
                <c:formatCode>General</c:formatCode>
                <c:ptCount val="9"/>
                <c:pt idx="0">
                  <c:v>0.36070184338329092</c:v>
                </c:pt>
                <c:pt idx="1">
                  <c:v>0.5556011834209077</c:v>
                </c:pt>
                <c:pt idx="2">
                  <c:v>0.61064450534877557</c:v>
                </c:pt>
                <c:pt idx="3">
                  <c:v>0.87866358530127486</c:v>
                </c:pt>
                <c:pt idx="4">
                  <c:v>1.5007132667617691</c:v>
                </c:pt>
                <c:pt idx="5">
                  <c:v>1.969588727502368</c:v>
                </c:pt>
                <c:pt idx="6">
                  <c:v>1.560760145463908</c:v>
                </c:pt>
                <c:pt idx="7">
                  <c:v>1.6459350307287099</c:v>
                </c:pt>
                <c:pt idx="8">
                  <c:v>1.5191298333175109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0-4229-825F-9458B41062B6}"/>
            </c:ext>
          </c:extLst>
        </c:ser>
        <c:ser>
          <c:idx val="1"/>
          <c:order val="1"/>
          <c:tx>
            <c:strRef>
              <c:f>CalculosGraficos!$F$54</c:f>
              <c:strCache>
                <c:ptCount val="1"/>
                <c:pt idx="0">
                  <c:v> ROA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F6-42F5-B902-05B5D3F6C4A4}"/>
              </c:ext>
            </c:extLst>
          </c:dPt>
          <c:dLbls>
            <c:dLbl>
              <c:idx val="7"/>
              <c:layout>
                <c:manualLayout>
                  <c:x val="-6.6797900262477374E-4"/>
                  <c:y val="1.3889253426655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6-42F5-B902-05B5D3F6C4A4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CalculosGraficos!$D$55:$D$63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CalculosGraficos!$F$55:$F$63</c:f>
              <c:numCache>
                <c:formatCode>General</c:formatCode>
                <c:ptCount val="9"/>
                <c:pt idx="0">
                  <c:v>0.1288264116658096</c:v>
                </c:pt>
                <c:pt idx="1">
                  <c:v>0.16277530931710979</c:v>
                </c:pt>
                <c:pt idx="2">
                  <c:v>0.1632300984296163</c:v>
                </c:pt>
                <c:pt idx="3">
                  <c:v>0.1772557180259843</c:v>
                </c:pt>
                <c:pt idx="4">
                  <c:v>0.26974205275183621</c:v>
                </c:pt>
                <c:pt idx="5">
                  <c:v>0.28292440929256851</c:v>
                </c:pt>
                <c:pt idx="6">
                  <c:v>0.27509834563776481</c:v>
                </c:pt>
                <c:pt idx="7">
                  <c:v>0.25682503150857577</c:v>
                </c:pt>
                <c:pt idx="8">
                  <c:v>0.31179625933565491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40-4229-825F-9458B41062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9057760"/>
        <c:axId val="1779056800"/>
      </c:line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sz="1200" b="1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Deuda</a:t>
            </a:r>
            <a:r>
              <a:rPr lang="es-PE" sz="1200" b="1" baseline="0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 con respecto activos</a:t>
            </a:r>
            <a:endParaRPr lang="es-PE" sz="1200" b="1">
              <a:solidFill>
                <a:sysClr val="windowText" lastClr="000000"/>
              </a:solidFill>
              <a:latin typeface="Amasis MT Pro Medium" panose="02040604050005020304" pitchFamily="18" charset="0"/>
            </a:endParaRPr>
          </a:p>
        </c:rich>
      </c:tx>
      <c:layout>
        <c:manualLayout>
          <c:xMode val="edge"/>
          <c:yMode val="edge"/>
          <c:x val="0.1011484928020361"/>
          <c:y val="4.4973388743073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81611389485411E-3"/>
              <c:y val="-2.314778361038205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071581961345746E-2"/>
          <c:y val="0.14638451443569553"/>
          <c:w val="0.85033663405710636"/>
          <c:h val="0.67187445319335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CalculosGraficos!$B$54</c:f>
              <c:strCache>
                <c:ptCount val="1"/>
                <c:pt idx="0">
                  <c:v>Deuda/Activos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D5A-4881-9523-A3E90D76CC2B}"/>
              </c:ext>
            </c:extLst>
          </c:dPt>
          <c:dLbls>
            <c:dLbl>
              <c:idx val="5"/>
              <c:layout>
                <c:manualLayout>
                  <c:x val="-6.5167807103290974E-3"/>
                  <c:y val="-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5A-4881-9523-A3E90D76CC2B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CalculosGraficos!$A$55:$A$64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CalculosGraficos!$B$55:$B$64</c:f>
              <c:numCache>
                <c:formatCode>General</c:formatCode>
                <c:ptCount val="9"/>
                <c:pt idx="0">
                  <c:v>0.27630628878367469</c:v>
                </c:pt>
                <c:pt idx="1">
                  <c:v>0.28031717820766971</c:v>
                </c:pt>
                <c:pt idx="2">
                  <c:v>0.30151307471434141</c:v>
                </c:pt>
                <c:pt idx="3">
                  <c:v>0.33171960677765161</c:v>
                </c:pt>
                <c:pt idx="4">
                  <c:v>0.33822884200090031</c:v>
                </c:pt>
                <c:pt idx="5">
                  <c:v>0.31207778769967831</c:v>
                </c:pt>
                <c:pt idx="6">
                  <c:v>0.29809434941559859</c:v>
                </c:pt>
                <c:pt idx="7">
                  <c:v>0.2648419091457066</c:v>
                </c:pt>
                <c:pt idx="8">
                  <c:v>0.2524155093655791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0-4229-825F-9458B41062B6}"/>
            </c:ext>
          </c:extLst>
        </c:ser>
        <c:ser>
          <c:idx val="1"/>
          <c:order val="1"/>
          <c:tx>
            <c:strRef>
              <c:f>CalculosGraficos!$C$54</c:f>
              <c:strCache>
                <c:ptCount val="1"/>
                <c:pt idx="0">
                  <c:v>Pasivos/Activos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40-4229-825F-9458B41062B6}"/>
              </c:ext>
            </c:extLst>
          </c:dPt>
          <c:dLbls>
            <c:dLbl>
              <c:idx val="6"/>
              <c:layout>
                <c:manualLayout>
                  <c:x val="9.9381611389485411E-3"/>
                  <c:y val="-2.3147783610382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40-4229-825F-9458B41062B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CalculosGraficos!$A$55:$A$64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CalculosGraficos!$C$55:$C$64</c:f>
              <c:numCache>
                <c:formatCode>General</c:formatCode>
                <c:ptCount val="9"/>
                <c:pt idx="0">
                  <c:v>0.64284515305646661</c:v>
                </c:pt>
                <c:pt idx="1">
                  <c:v>0.70702850502426684</c:v>
                </c:pt>
                <c:pt idx="2">
                  <c:v>0.73269210317976108</c:v>
                </c:pt>
                <c:pt idx="3">
                  <c:v>0.79826668477992391</c:v>
                </c:pt>
                <c:pt idx="4">
                  <c:v>0.82025743443057308</c:v>
                </c:pt>
                <c:pt idx="5">
                  <c:v>0.85635355983614692</c:v>
                </c:pt>
                <c:pt idx="6">
                  <c:v>0.82374079294804348</c:v>
                </c:pt>
                <c:pt idx="7">
                  <c:v>0.84396405282481235</c:v>
                </c:pt>
                <c:pt idx="8">
                  <c:v>0.79475338282657049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0-4229-825F-9458B4106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79057760"/>
        <c:axId val="1779056800"/>
      </c:bar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[Data_APPL_Final_Presentar.xlsx]CalculosGraficos!TablaDinámica7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ysClr val="windowText" lastClr="000000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sz="1100" b="1" i="0" u="sng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Crecimiento de Ingresos</a:t>
            </a:r>
            <a:r>
              <a:rPr lang="es-PE" sz="1100" b="1" i="0" u="sng" baseline="0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 y Costos</a:t>
            </a:r>
            <a:endParaRPr lang="es-PE" sz="1100" b="1" i="0" u="sng">
              <a:solidFill>
                <a:sysClr val="windowText" lastClr="000000"/>
              </a:solidFill>
              <a:latin typeface="Amasis MT Pro Medium" panose="02040604050005020304" pitchFamily="18" charset="0"/>
            </a:endParaRPr>
          </a:p>
        </c:rich>
      </c:tx>
      <c:layout>
        <c:manualLayout>
          <c:xMode val="edge"/>
          <c:yMode val="edge"/>
          <c:x val="5.3384154625722977E-2"/>
          <c:y val="2.75839335248970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ysClr val="windowText" lastClr="000000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2583903551645487E-3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291951775822744E-3"/>
              <c:y val="-4.6296296296296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291951775822744E-3"/>
              <c:y val="-4.6296296296296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2583903551645487E-3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408681424746E-3"/>
              <c:y val="-7.51707280665744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2738989964138442E-2"/>
              <c:y val="-6.604221865631725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8813045127038294E-2"/>
                  <c:h val="0.11690363349131122"/>
                </c:manualLayout>
              </c15:layout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7.5843761850587091E-3"/>
              <c:y val="3.9494470774091628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7064846416382253E-2"/>
              <c:y val="-1.5797788309636688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5843761850587785E-3"/>
              <c:y val="-5.529225908372813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984662474375453E-2"/>
          <c:y val="8.1569664902998232E-2"/>
          <c:w val="0.92609419057221953"/>
          <c:h val="0.79224482356372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CalculosGraficos!$E$20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72D-4D48-BA8A-D11D4306518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2D-4D48-BA8A-D11D4306518A}"/>
              </c:ext>
            </c:extLst>
          </c:dPt>
          <c:dLbls>
            <c:dLbl>
              <c:idx val="2"/>
              <c:layout>
                <c:manualLayout>
                  <c:x val="1.6291951775822744E-3"/>
                  <c:y val="-4.62962962962961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2D-4D48-BA8A-D11D4306518A}"/>
                </c:ext>
              </c:extLst>
            </c:dLbl>
            <c:dLbl>
              <c:idx val="6"/>
              <c:layout>
                <c:manualLayout>
                  <c:x val="-6.5167408681424746E-3"/>
                  <c:y val="-7.51707280665744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masis MT Pro Light" panose="02040304050005020304" pitchFamily="18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2D-4D48-BA8A-D11D4306518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CalculosGraficos!$D$21:$D$29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CalculosGraficos!$E$21:$E$29</c:f>
              <c:numCache>
                <c:formatCode>0%</c:formatCode>
                <c:ptCount val="9"/>
                <c:pt idx="0">
                  <c:v>6.304518199398057E-2</c:v>
                </c:pt>
                <c:pt idx="1">
                  <c:v>0.15861957650261299</c:v>
                </c:pt>
                <c:pt idx="2">
                  <c:v>-2.04107758052674E-2</c:v>
                </c:pt>
                <c:pt idx="3">
                  <c:v>5.5120803769784787E-2</c:v>
                </c:pt>
                <c:pt idx="4">
                  <c:v>0.33259384733074698</c:v>
                </c:pt>
                <c:pt idx="5">
                  <c:v>7.7937876041846099E-2</c:v>
                </c:pt>
                <c:pt idx="6">
                  <c:v>-2.800460530319937E-2</c:v>
                </c:pt>
                <c:pt idx="7">
                  <c:v>2.021994077514111E-2</c:v>
                </c:pt>
                <c:pt idx="8">
                  <c:v>6.425511782832749E-2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2D-4D48-BA8A-D11D4306518A}"/>
            </c:ext>
          </c:extLst>
        </c:ser>
        <c:ser>
          <c:idx val="1"/>
          <c:order val="1"/>
          <c:tx>
            <c:strRef>
              <c:f>CalculosGraficos!$F$20</c:f>
              <c:strCache>
                <c:ptCount val="1"/>
                <c:pt idx="0">
                  <c:v>Costos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2D-4D48-BA8A-D11D430651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2D-4D48-BA8A-D11D430651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72D-4D48-BA8A-D11D4306518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DF1-4F14-9FDC-222411A32A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2D-4D48-BA8A-D11D4306518A}"/>
              </c:ext>
            </c:extLst>
          </c:dPt>
          <c:dLbls>
            <c:dLbl>
              <c:idx val="1"/>
              <c:layout>
                <c:manualLayout>
                  <c:x val="1.7064846416382253E-2"/>
                  <c:y val="-1.57977883096366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2D-4D48-BA8A-D11D4306518A}"/>
                </c:ext>
              </c:extLst>
            </c:dLbl>
            <c:dLbl>
              <c:idx val="2"/>
              <c:layout>
                <c:manualLayout>
                  <c:x val="1.2738989964138442E-2"/>
                  <c:y val="-6.60422186563172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masis MT Pro Light" panose="02040304050005020304" pitchFamily="18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813045127038294E-2"/>
                      <c:h val="0.116903633491311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72D-4D48-BA8A-D11D4306518A}"/>
                </c:ext>
              </c:extLst>
            </c:dLbl>
            <c:dLbl>
              <c:idx val="4"/>
              <c:layout>
                <c:manualLayout>
                  <c:x val="7.5843761850587091E-3"/>
                  <c:y val="3.94944707740916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2D-4D48-BA8A-D11D4306518A}"/>
                </c:ext>
              </c:extLst>
            </c:dLbl>
            <c:dLbl>
              <c:idx val="6"/>
              <c:layout>
                <c:manualLayout>
                  <c:x val="7.5843761850587785E-3"/>
                  <c:y val="-5.52922590837281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F1-4F14-9FDC-222411A32AA3}"/>
                </c:ext>
              </c:extLst>
            </c:dLbl>
            <c:dLbl>
              <c:idx val="7"/>
              <c:layout>
                <c:manualLayout>
                  <c:x val="4.8875855327468231E-3"/>
                  <c:y val="0.138889253426655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2D-4D48-BA8A-D11D4306518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CalculosGraficos!$D$21:$D$29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CalculosGraficos!$F$21:$F$29</c:f>
              <c:numCache>
                <c:formatCode>0%</c:formatCode>
                <c:ptCount val="9"/>
                <c:pt idx="0">
                  <c:v>7.3620752648885679E-2</c:v>
                </c:pt>
                <c:pt idx="1">
                  <c:v>0.16099483863649261</c:v>
                </c:pt>
                <c:pt idx="2">
                  <c:v>-1.205452013972008E-2</c:v>
                </c:pt>
                <c:pt idx="3">
                  <c:v>4.8070860787973853E-2</c:v>
                </c:pt>
                <c:pt idx="4">
                  <c:v>0.25608785142634721</c:v>
                </c:pt>
                <c:pt idx="5">
                  <c:v>4.960536385874792E-2</c:v>
                </c:pt>
                <c:pt idx="6">
                  <c:v>-4.208977123276636E-2</c:v>
                </c:pt>
                <c:pt idx="7">
                  <c:v>-1.7675600199872021E-2</c:v>
                </c:pt>
                <c:pt idx="8">
                  <c:v>5.0429755837833712E-2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2D-4D48-BA8A-D11D43065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79057760"/>
        <c:axId val="1779056800"/>
      </c:bar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502661996601977"/>
          <c:y val="5.3119130250898726E-2"/>
          <c:w val="0.17009844759166196"/>
          <c:h val="0.13329477180281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sng" strike="noStrike" kern="1200" spc="0" baseline="0">
                <a:solidFill>
                  <a:schemeClr val="tx1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sz="1000" b="1" u="sng">
                <a:solidFill>
                  <a:schemeClr val="tx1"/>
                </a:solidFill>
                <a:latin typeface="Amasis MT Pro Medium" panose="02040604050005020304" pitchFamily="18" charset="0"/>
              </a:rPr>
              <a:t>Segmentación</a:t>
            </a:r>
            <a:r>
              <a:rPr lang="es-PE" sz="1000" b="1" u="sng" baseline="0">
                <a:solidFill>
                  <a:schemeClr val="tx1"/>
                </a:solidFill>
                <a:latin typeface="Amasis MT Pro Medium" panose="02040604050005020304" pitchFamily="18" charset="0"/>
              </a:rPr>
              <a:t> de Ingresos</a:t>
            </a:r>
            <a:endParaRPr lang="es-PE" sz="1000" b="1" u="sng">
              <a:solidFill>
                <a:schemeClr val="tx1"/>
              </a:solidFill>
              <a:latin typeface="Amasis MT Pro Medium" panose="02040604050005020304" pitchFamily="18" charset="0"/>
            </a:endParaRPr>
          </a:p>
        </c:rich>
      </c:tx>
      <c:layout>
        <c:manualLayout>
          <c:xMode val="edge"/>
          <c:yMode val="edge"/>
          <c:x val="0.1414342142875705"/>
          <c:y val="4.16669776467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sng" strike="noStrike" kern="1200" spc="0" baseline="0">
              <a:solidFill>
                <a:schemeClr val="tx1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984662474375453E-2"/>
          <c:y val="0.18805118110236221"/>
          <c:w val="0.92609419057221953"/>
          <c:h val="0.68576334208223977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CalculosGraficos!$B$33</c:f>
              <c:strCache>
                <c:ptCount val="1"/>
                <c:pt idx="0">
                  <c:v>Productos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33B-4920-9459-0236794D303B}"/>
              </c:ext>
            </c:extLst>
          </c:dPt>
          <c:dLbls>
            <c:dLbl>
              <c:idx val="6"/>
              <c:layout>
                <c:manualLayout>
                  <c:x val="-6.5167807103290974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3B-4920-9459-0236794D303B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CalculosGraficos!$A$34:$A$42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CalculosGraficos!$B$34:$B$42</c:f>
              <c:numCache>
                <c:formatCode>General</c:formatCode>
                <c:ptCount val="9"/>
                <c:pt idx="0">
                  <c:v>0.85735100377779916</c:v>
                </c:pt>
                <c:pt idx="1">
                  <c:v>0.85034356821476309</c:v>
                </c:pt>
                <c:pt idx="2">
                  <c:v>0.82207676401177676</c:v>
                </c:pt>
                <c:pt idx="3">
                  <c:v>0.80413456459574162</c:v>
                </c:pt>
                <c:pt idx="4">
                  <c:v>0.81295292454970658</c:v>
                </c:pt>
                <c:pt idx="5">
                  <c:v>0.80186798807084458</c:v>
                </c:pt>
                <c:pt idx="6">
                  <c:v>0.77771110270425403</c:v>
                </c:pt>
                <c:pt idx="7">
                  <c:v>0.75406549285869551</c:v>
                </c:pt>
                <c:pt idx="8">
                  <c:v>0.73770247572453929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B-4920-9459-0236794D303B}"/>
            </c:ext>
          </c:extLst>
        </c:ser>
        <c:ser>
          <c:idx val="1"/>
          <c:order val="1"/>
          <c:tx>
            <c:strRef>
              <c:f>CalculosGraficos!$C$33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33B-4920-9459-0236794D303B}"/>
              </c:ext>
            </c:extLst>
          </c:dPt>
          <c:dLbls>
            <c:dLbl>
              <c:idx val="7"/>
              <c:layout>
                <c:manualLayout>
                  <c:x val="4.8875855327468231E-3"/>
                  <c:y val="0.138889253426655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3B-4920-9459-0236794D303B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CalculosGraficos!$A$34:$A$42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CalculosGraficos!$C$34:$C$42</c:f>
              <c:numCache>
                <c:formatCode>General</c:formatCode>
                <c:ptCount val="9"/>
                <c:pt idx="0">
                  <c:v>0.1426489962222009</c:v>
                </c:pt>
                <c:pt idx="1">
                  <c:v>0.14965643178523691</c:v>
                </c:pt>
                <c:pt idx="2">
                  <c:v>0.17792323598822327</c:v>
                </c:pt>
                <c:pt idx="3">
                  <c:v>0.19586543540425841</c:v>
                </c:pt>
                <c:pt idx="4">
                  <c:v>0.18704707545029345</c:v>
                </c:pt>
                <c:pt idx="5">
                  <c:v>0.19813201192915542</c:v>
                </c:pt>
                <c:pt idx="6">
                  <c:v>0.222288897295746</c:v>
                </c:pt>
                <c:pt idx="7">
                  <c:v>0.24593450714130449</c:v>
                </c:pt>
                <c:pt idx="8">
                  <c:v>0.26229752427546071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3B-4920-9459-0236794D3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779057760"/>
        <c:axId val="1779056800"/>
        <c:axId val="0"/>
      </c:bar3D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124061225020142"/>
          <c:y val="4.5220236096080405E-2"/>
          <c:w val="0.35197396117564511"/>
          <c:h val="0.13329477180281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sz="1200" b="1" u="sng"/>
              <a:t>ROA Y ROE</a:t>
            </a:r>
          </a:p>
        </c:rich>
      </c:tx>
      <c:layout>
        <c:manualLayout>
          <c:xMode val="edge"/>
          <c:yMode val="edge"/>
          <c:x val="0.41933027121609801"/>
          <c:y val="6.2901030323337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797900262477374E-4"/>
              <c:y val="1.3889253426655002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797900262477374E-4"/>
              <c:y val="1.3889253426655002E-2"/>
            </c:manualLayout>
          </c:layout>
          <c:numFmt formatCode="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0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#,##0.00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.00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6797900262477374E-4"/>
              <c:y val="1.3889253426655002E-2"/>
            </c:manualLayout>
          </c:layout>
          <c:numFmt formatCode="#,##0.00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-4.7393364928909949E-2"/>
            </c:manualLayout>
          </c:layout>
          <c:numFmt formatCode="#,##0.00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175823361062911E-2"/>
          <c:y val="0.1539978371802237"/>
          <c:w val="0.92609419057221953"/>
          <c:h val="0.68576334208223977"/>
        </c:manualLayout>
      </c:layout>
      <c:lineChart>
        <c:grouping val="standard"/>
        <c:varyColors val="0"/>
        <c:ser>
          <c:idx val="0"/>
          <c:order val="0"/>
          <c:tx>
            <c:strRef>
              <c:f>CalculosGraficos!$E$54</c:f>
              <c:strCache>
                <c:ptCount val="1"/>
                <c:pt idx="0">
                  <c:v>  ROE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15-49DC-8AA6-432BC52578E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15-49DC-8AA6-432BC52578E2}"/>
              </c:ext>
            </c:extLst>
          </c:dPt>
          <c:dLbls>
            <c:dLbl>
              <c:idx val="0"/>
              <c:layout>
                <c:manualLayout>
                  <c:x val="0"/>
                  <c:y val="-4.7393364928909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15-49DC-8AA6-432BC52578E2}"/>
                </c:ext>
              </c:extLst>
            </c:dLbl>
            <c:dLbl>
              <c:idx val="6"/>
              <c:layout>
                <c:manualLayout>
                  <c:x val="-6.5167807103290974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15-49DC-8AA6-432BC52578E2}"/>
                </c:ext>
              </c:extLst>
            </c:dLbl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CalculosGraficos!$D$55:$D$63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CalculosGraficos!$E$55:$E$63</c:f>
              <c:numCache>
                <c:formatCode>General</c:formatCode>
                <c:ptCount val="9"/>
                <c:pt idx="0">
                  <c:v>0.36070184338329092</c:v>
                </c:pt>
                <c:pt idx="1">
                  <c:v>0.5556011834209077</c:v>
                </c:pt>
                <c:pt idx="2">
                  <c:v>0.61064450534877557</c:v>
                </c:pt>
                <c:pt idx="3">
                  <c:v>0.87866358530127486</c:v>
                </c:pt>
                <c:pt idx="4">
                  <c:v>1.5007132667617691</c:v>
                </c:pt>
                <c:pt idx="5">
                  <c:v>1.969588727502368</c:v>
                </c:pt>
                <c:pt idx="6">
                  <c:v>1.560760145463908</c:v>
                </c:pt>
                <c:pt idx="7">
                  <c:v>1.6459350307287099</c:v>
                </c:pt>
                <c:pt idx="8">
                  <c:v>1.5191298333175109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15-49DC-8AA6-432BC52578E2}"/>
            </c:ext>
          </c:extLst>
        </c:ser>
        <c:ser>
          <c:idx val="1"/>
          <c:order val="1"/>
          <c:tx>
            <c:strRef>
              <c:f>CalculosGraficos!$F$54</c:f>
              <c:strCache>
                <c:ptCount val="1"/>
                <c:pt idx="0">
                  <c:v> ROA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15-49DC-8AA6-432BC52578E2}"/>
              </c:ext>
            </c:extLst>
          </c:dPt>
          <c:dLbls>
            <c:dLbl>
              <c:idx val="7"/>
              <c:layout>
                <c:manualLayout>
                  <c:x val="-6.6797900262477374E-4"/>
                  <c:y val="1.3889253426655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15-49DC-8AA6-432BC52578E2}"/>
                </c:ext>
              </c:extLst>
            </c:dLbl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CalculosGraficos!$D$55:$D$63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CalculosGraficos!$F$55:$F$63</c:f>
              <c:numCache>
                <c:formatCode>General</c:formatCode>
                <c:ptCount val="9"/>
                <c:pt idx="0">
                  <c:v>0.1288264116658096</c:v>
                </c:pt>
                <c:pt idx="1">
                  <c:v>0.16277530931710979</c:v>
                </c:pt>
                <c:pt idx="2">
                  <c:v>0.1632300984296163</c:v>
                </c:pt>
                <c:pt idx="3">
                  <c:v>0.1772557180259843</c:v>
                </c:pt>
                <c:pt idx="4">
                  <c:v>0.26974205275183621</c:v>
                </c:pt>
                <c:pt idx="5">
                  <c:v>0.28292440929256851</c:v>
                </c:pt>
                <c:pt idx="6">
                  <c:v>0.27509834563776481</c:v>
                </c:pt>
                <c:pt idx="7">
                  <c:v>0.25682503150857577</c:v>
                </c:pt>
                <c:pt idx="8">
                  <c:v>0.31179625933565491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5-49DC-8AA6-432BC52578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9057760"/>
        <c:axId val="1779056800"/>
      </c:line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702691107992898E-2"/>
          <c:y val="8.4714706870172032E-2"/>
          <c:w val="0.19387104846854417"/>
          <c:h val="0.13329477180281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[Data_APPL_Final_Presentar.xlsx]CalculosGraficos!TablaDinámica1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rPr lang="es-PE" sz="1000" b="1" u="sng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Deuda</a:t>
            </a:r>
            <a:r>
              <a:rPr lang="es-PE" sz="1000" b="1" u="sng" baseline="0">
                <a:solidFill>
                  <a:sysClr val="windowText" lastClr="000000"/>
                </a:solidFill>
                <a:latin typeface="Amasis MT Pro Medium" panose="02040604050005020304" pitchFamily="18" charset="0"/>
              </a:rPr>
              <a:t> con respecto activos</a:t>
            </a:r>
            <a:endParaRPr lang="es-PE" sz="1000" b="1" u="sng">
              <a:solidFill>
                <a:sysClr val="windowText" lastClr="000000"/>
              </a:solidFill>
              <a:latin typeface="Amasis MT Pro Medium" panose="02040604050005020304" pitchFamily="18" charset="0"/>
            </a:endParaRPr>
          </a:p>
        </c:rich>
      </c:tx>
      <c:layout>
        <c:manualLayout>
          <c:xMode val="edge"/>
          <c:yMode val="edge"/>
          <c:x val="9.1286531528021977E-2"/>
          <c:y val="4.4973516823910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masis MT Pro Medium" panose="02040604050005020304" pitchFamily="18" charset="0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dLbl>
          <c:idx val="0"/>
          <c:layout>
            <c:manualLayout>
              <c:x val="3.2583903551645487E-3"/>
              <c:y val="-4.6295931758530182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291951775822744E-3"/>
              <c:y val="-4.629629629629612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8875855327468231E-3"/>
              <c:y val="0.138889253426655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9381611389485411E-3"/>
              <c:y val="-2.314778361038205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9381611389485411E-3"/>
              <c:y val="-2.314778361038205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167807103290974E-3"/>
              <c:y val="-2.777777777777777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81611389485411E-3"/>
              <c:y val="-2.314778361038205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sis MT Pro Light" panose="02040304050005020304" pitchFamily="18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071581961345746E-2"/>
          <c:y val="0.14638451443569553"/>
          <c:w val="0.85033663405710636"/>
          <c:h val="0.67187445319335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CalculosGraficos!$B$54</c:f>
              <c:strCache>
                <c:ptCount val="1"/>
                <c:pt idx="0">
                  <c:v>Deuda/Activos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8A4-4D28-9DF0-7192487F7446}"/>
              </c:ext>
            </c:extLst>
          </c:dPt>
          <c:dLbls>
            <c:dLbl>
              <c:idx val="5"/>
              <c:layout>
                <c:manualLayout>
                  <c:x val="-6.5167807103290974E-3"/>
                  <c:y val="-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A4-4D28-9DF0-7192487F744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CalculosGraficos!$A$55:$A$64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CalculosGraficos!$B$55:$B$64</c:f>
              <c:numCache>
                <c:formatCode>General</c:formatCode>
                <c:ptCount val="9"/>
                <c:pt idx="0">
                  <c:v>0.27630628878367469</c:v>
                </c:pt>
                <c:pt idx="1">
                  <c:v>0.28031717820766971</c:v>
                </c:pt>
                <c:pt idx="2">
                  <c:v>0.30151307471434141</c:v>
                </c:pt>
                <c:pt idx="3">
                  <c:v>0.33171960677765161</c:v>
                </c:pt>
                <c:pt idx="4">
                  <c:v>0.33822884200090031</c:v>
                </c:pt>
                <c:pt idx="5">
                  <c:v>0.31207778769967831</c:v>
                </c:pt>
                <c:pt idx="6">
                  <c:v>0.29809434941559859</c:v>
                </c:pt>
                <c:pt idx="7">
                  <c:v>0.2648419091457066</c:v>
                </c:pt>
                <c:pt idx="8">
                  <c:v>0.2524155093655791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A4-4D28-9DF0-7192487F7446}"/>
            </c:ext>
          </c:extLst>
        </c:ser>
        <c:ser>
          <c:idx val="1"/>
          <c:order val="1"/>
          <c:tx>
            <c:strRef>
              <c:f>CalculosGraficos!$C$54</c:f>
              <c:strCache>
                <c:ptCount val="1"/>
                <c:pt idx="0">
                  <c:v>Pasivos/Activos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A4-4D28-9DF0-7192487F7446}"/>
              </c:ext>
            </c:extLst>
          </c:dPt>
          <c:dLbls>
            <c:dLbl>
              <c:idx val="6"/>
              <c:layout>
                <c:manualLayout>
                  <c:x val="9.9381611389485411E-3"/>
                  <c:y val="-2.3147783610382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A4-4D28-9DF0-7192487F744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Light" panose="02040304050005020304" pitchFamily="18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CalculosGraficos!$A$55:$A$64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CalculosGraficos!$C$55:$C$64</c:f>
              <c:numCache>
                <c:formatCode>General</c:formatCode>
                <c:ptCount val="9"/>
                <c:pt idx="0">
                  <c:v>0.64284515305646661</c:v>
                </c:pt>
                <c:pt idx="1">
                  <c:v>0.70702850502426684</c:v>
                </c:pt>
                <c:pt idx="2">
                  <c:v>0.73269210317976108</c:v>
                </c:pt>
                <c:pt idx="3">
                  <c:v>0.79826668477992391</c:v>
                </c:pt>
                <c:pt idx="4">
                  <c:v>0.82025743443057308</c:v>
                </c:pt>
                <c:pt idx="5">
                  <c:v>0.85635355983614692</c:v>
                </c:pt>
                <c:pt idx="6">
                  <c:v>0.82374079294804348</c:v>
                </c:pt>
                <c:pt idx="7">
                  <c:v>0.84396405282481235</c:v>
                </c:pt>
                <c:pt idx="8">
                  <c:v>0.79475338282657049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A4-4D28-9DF0-7192487F74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79057760"/>
        <c:axId val="1779056800"/>
      </c:barChart>
      <c:catAx>
        <c:axId val="17790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9056800"/>
        <c:crosses val="autoZero"/>
        <c:auto val="1"/>
        <c:lblAlgn val="ctr"/>
        <c:lblOffset val="100"/>
        <c:noMultiLvlLbl val="0"/>
      </c:catAx>
      <c:valAx>
        <c:axId val="1779056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es-PE"/>
          </a:p>
        </c:txPr>
        <c:crossAx val="17790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310257883008512"/>
          <c:y val="2.4390532264547543E-3"/>
          <c:w val="0.5137421211329779"/>
          <c:h val="0.12669007590267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17</xdr:row>
      <xdr:rowOff>129541</xdr:rowOff>
    </xdr:from>
    <xdr:to>
      <xdr:col>2</xdr:col>
      <xdr:colOff>807720</xdr:colOff>
      <xdr:row>27</xdr:row>
      <xdr:rowOff>129541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8BDCC3DE-C357-031B-14BD-E4422E81BA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" y="3238501"/>
              <a:ext cx="249936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251460</xdr:colOff>
      <xdr:row>17</xdr:row>
      <xdr:rowOff>160020</xdr:rowOff>
    </xdr:from>
    <xdr:to>
      <xdr:col>17</xdr:col>
      <xdr:colOff>22860</xdr:colOff>
      <xdr:row>33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52D43E-B921-F013-7C71-25B68C4F8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422910</xdr:colOff>
      <xdr:row>35</xdr:row>
      <xdr:rowOff>45720</xdr:rowOff>
    </xdr:from>
    <xdr:to>
      <xdr:col>7</xdr:col>
      <xdr:colOff>2045970</xdr:colOff>
      <xdr:row>50</xdr:row>
      <xdr:rowOff>45720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CB02745-A2D4-28E4-30B0-A3C81A276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54</xdr:row>
      <xdr:rowOff>53340</xdr:rowOff>
    </xdr:from>
    <xdr:to>
      <xdr:col>9</xdr:col>
      <xdr:colOff>1104900</xdr:colOff>
      <xdr:row>69</xdr:row>
      <xdr:rowOff>175260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FAB415E-DB71-2772-C5D8-B05AB03D6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1127760</xdr:colOff>
      <xdr:row>64</xdr:row>
      <xdr:rowOff>160020</xdr:rowOff>
    </xdr:from>
    <xdr:to>
      <xdr:col>6</xdr:col>
      <xdr:colOff>60960</xdr:colOff>
      <xdr:row>79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1D43DF-3AE6-5207-629C-F41E6BAF5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15240</xdr:rowOff>
    </xdr:from>
    <xdr:to>
      <xdr:col>12</xdr:col>
      <xdr:colOff>952500</xdr:colOff>
      <xdr:row>5</xdr:row>
      <xdr:rowOff>15240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A993154-E2B5-719B-1354-81ABB7158014}"/>
            </a:ext>
          </a:extLst>
        </xdr:cNvPr>
        <xdr:cNvSpPr/>
      </xdr:nvSpPr>
      <xdr:spPr>
        <a:xfrm>
          <a:off x="1927860" y="15240"/>
          <a:ext cx="10546080" cy="914400"/>
        </a:xfrm>
        <a:prstGeom prst="round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1</xdr:col>
      <xdr:colOff>952500</xdr:colOff>
      <xdr:row>3</xdr:row>
      <xdr:rowOff>137160</xdr:rowOff>
    </xdr:from>
    <xdr:to>
      <xdr:col>3</xdr:col>
      <xdr:colOff>952500</xdr:colOff>
      <xdr:row>8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32426B6-7F62-E9E3-2E07-D231F2B079D4}"/>
            </a:ext>
          </a:extLst>
        </xdr:cNvPr>
        <xdr:cNvSpPr/>
      </xdr:nvSpPr>
      <xdr:spPr>
        <a:xfrm>
          <a:off x="1912620" y="685800"/>
          <a:ext cx="1920240" cy="922020"/>
        </a:xfrm>
        <a:prstGeom prst="round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</a:t>
          </a:r>
        </a:p>
      </xdr:txBody>
    </xdr:sp>
    <xdr:clientData/>
  </xdr:twoCellAnchor>
  <xdr:twoCellAnchor>
    <xdr:from>
      <xdr:col>8</xdr:col>
      <xdr:colOff>701040</xdr:colOff>
      <xdr:row>3</xdr:row>
      <xdr:rowOff>137160</xdr:rowOff>
    </xdr:from>
    <xdr:to>
      <xdr:col>11</xdr:col>
      <xdr:colOff>655320</xdr:colOff>
      <xdr:row>8</xdr:row>
      <xdr:rowOff>114300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9764EAC-43A7-43CA-A35B-FFE69C187D7E}"/>
            </a:ext>
          </a:extLst>
        </xdr:cNvPr>
        <xdr:cNvSpPr/>
      </xdr:nvSpPr>
      <xdr:spPr>
        <a:xfrm>
          <a:off x="8382000" y="685800"/>
          <a:ext cx="2834640" cy="891540"/>
        </a:xfrm>
        <a:prstGeom prst="round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15240</xdr:colOff>
      <xdr:row>10</xdr:row>
      <xdr:rowOff>7620</xdr:rowOff>
    </xdr:from>
    <xdr:to>
      <xdr:col>13</xdr:col>
      <xdr:colOff>0</xdr:colOff>
      <xdr:row>18</xdr:row>
      <xdr:rowOff>167640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773F622-1E6C-EB95-6E51-FDB7F12AA47D}"/>
            </a:ext>
          </a:extLst>
        </xdr:cNvPr>
        <xdr:cNvSpPr/>
      </xdr:nvSpPr>
      <xdr:spPr>
        <a:xfrm>
          <a:off x="5775960" y="1836420"/>
          <a:ext cx="6705600" cy="162306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914400</xdr:colOff>
      <xdr:row>19</xdr:row>
      <xdr:rowOff>152400</xdr:rowOff>
    </xdr:from>
    <xdr:to>
      <xdr:col>12</xdr:col>
      <xdr:colOff>922020</xdr:colOff>
      <xdr:row>28</xdr:row>
      <xdr:rowOff>160020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CDEB45ED-6536-4501-B800-E22C7DDB3546}"/>
            </a:ext>
          </a:extLst>
        </xdr:cNvPr>
        <xdr:cNvSpPr/>
      </xdr:nvSpPr>
      <xdr:spPr>
        <a:xfrm>
          <a:off x="5715000" y="3627120"/>
          <a:ext cx="6728460" cy="165354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15240</xdr:colOff>
      <xdr:row>10</xdr:row>
      <xdr:rowOff>7620</xdr:rowOff>
    </xdr:from>
    <xdr:to>
      <xdr:col>2</xdr:col>
      <xdr:colOff>952500</xdr:colOff>
      <xdr:row>19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7B872A9-060F-E996-9C84-8A71BAFEB538}"/>
            </a:ext>
          </a:extLst>
        </xdr:cNvPr>
        <xdr:cNvSpPr/>
      </xdr:nvSpPr>
      <xdr:spPr>
        <a:xfrm>
          <a:off x="975360" y="1836420"/>
          <a:ext cx="1897380" cy="163830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0</xdr:colOff>
      <xdr:row>10</xdr:row>
      <xdr:rowOff>7620</xdr:rowOff>
    </xdr:from>
    <xdr:to>
      <xdr:col>4</xdr:col>
      <xdr:colOff>944880</xdr:colOff>
      <xdr:row>19</xdr:row>
      <xdr:rowOff>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7D38A2AB-A0C2-4926-988A-FAB205045459}"/>
            </a:ext>
          </a:extLst>
        </xdr:cNvPr>
        <xdr:cNvSpPr/>
      </xdr:nvSpPr>
      <xdr:spPr>
        <a:xfrm>
          <a:off x="2880360" y="1836420"/>
          <a:ext cx="1905000" cy="163830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960119</xdr:colOff>
      <xdr:row>20</xdr:row>
      <xdr:rowOff>0</xdr:rowOff>
    </xdr:from>
    <xdr:to>
      <xdr:col>3</xdr:col>
      <xdr:colOff>22676</xdr:colOff>
      <xdr:row>28</xdr:row>
      <xdr:rowOff>175260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94FDD10-E533-49E2-B212-0BAE8FB410C5}"/>
            </a:ext>
          </a:extLst>
        </xdr:cNvPr>
        <xdr:cNvSpPr/>
      </xdr:nvSpPr>
      <xdr:spPr>
        <a:xfrm>
          <a:off x="960119" y="3657600"/>
          <a:ext cx="1942917" cy="163830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944880</xdr:colOff>
      <xdr:row>20</xdr:row>
      <xdr:rowOff>0</xdr:rowOff>
    </xdr:from>
    <xdr:to>
      <xdr:col>5</xdr:col>
      <xdr:colOff>15240</xdr:colOff>
      <xdr:row>28</xdr:row>
      <xdr:rowOff>175260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4F6156D-E872-40D2-AFD9-4D82A6013700}"/>
            </a:ext>
          </a:extLst>
        </xdr:cNvPr>
        <xdr:cNvSpPr/>
      </xdr:nvSpPr>
      <xdr:spPr>
        <a:xfrm>
          <a:off x="2865120" y="3657600"/>
          <a:ext cx="1950720" cy="1638300"/>
        </a:xfrm>
        <a:prstGeom prst="rect">
          <a:avLst/>
        </a:prstGeom>
        <a:ln w="12700">
          <a:solidFill>
            <a:srgbClr val="92D050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236220</xdr:colOff>
      <xdr:row>0</xdr:row>
      <xdr:rowOff>99060</xdr:rowOff>
    </xdr:from>
    <xdr:to>
      <xdr:col>2</xdr:col>
      <xdr:colOff>883920</xdr:colOff>
      <xdr:row>3</xdr:row>
      <xdr:rowOff>99060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7E2E7F5B-38BB-7B5F-DDA4-C0D9E2F50A94}"/>
            </a:ext>
          </a:extLst>
        </xdr:cNvPr>
        <xdr:cNvGrpSpPr/>
      </xdr:nvGrpSpPr>
      <xdr:grpSpPr>
        <a:xfrm>
          <a:off x="2156460" y="99060"/>
          <a:ext cx="647700" cy="548640"/>
          <a:chOff x="2072640" y="60960"/>
          <a:chExt cx="701040" cy="586740"/>
        </a:xfrm>
      </xdr:grpSpPr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1D611365-CD16-11A8-27BC-6C2DED89AB2A}"/>
              </a:ext>
            </a:extLst>
          </xdr:cNvPr>
          <xdr:cNvSpPr/>
        </xdr:nvSpPr>
        <xdr:spPr>
          <a:xfrm>
            <a:off x="2072640" y="60960"/>
            <a:ext cx="701040" cy="586740"/>
          </a:xfrm>
          <a:prstGeom prst="ellipse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29" name="Gráfico 28" descr="Manzana con relleno sólido">
            <a:extLst>
              <a:ext uri="{FF2B5EF4-FFF2-40B4-BE49-F238E27FC236}">
                <a16:creationId xmlns:a16="http://schemas.microsoft.com/office/drawing/2014/main" id="{64C15492-B3A7-0008-1FB3-F26421BE1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160388" y="91440"/>
            <a:ext cx="502920" cy="50292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53340</xdr:colOff>
      <xdr:row>0</xdr:row>
      <xdr:rowOff>152400</xdr:rowOff>
    </xdr:from>
    <xdr:to>
      <xdr:col>11</xdr:col>
      <xdr:colOff>662940</xdr:colOff>
      <xdr:row>3</xdr:row>
      <xdr:rowOff>7620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36B1F80-C75A-2D56-E997-FCE5C2B18C23}"/>
            </a:ext>
          </a:extLst>
        </xdr:cNvPr>
        <xdr:cNvSpPr txBox="1"/>
      </xdr:nvSpPr>
      <xdr:spPr>
        <a:xfrm>
          <a:off x="2933700" y="152400"/>
          <a:ext cx="8290560" cy="4038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chemeClr val="bg1"/>
              </a:solidFill>
              <a:latin typeface="Amasis MT Pro Black" panose="02040A04050005020304" pitchFamily="18" charset="0"/>
            </a:rPr>
            <a:t>DASHBOARD</a:t>
          </a:r>
          <a:r>
            <a:rPr lang="es-PE" sz="1600" baseline="0">
              <a:solidFill>
                <a:schemeClr val="bg1"/>
              </a:solidFill>
              <a:latin typeface="Amasis MT Pro Black" panose="02040A04050005020304" pitchFamily="18" charset="0"/>
            </a:rPr>
            <a:t> - Apple Inc. — Visión General del Desempeño Financiero</a:t>
          </a:r>
        </a:p>
      </xdr:txBody>
    </xdr:sp>
    <xdr:clientData/>
  </xdr:twoCellAnchor>
  <xdr:twoCellAnchor editAs="oneCell">
    <xdr:from>
      <xdr:col>0</xdr:col>
      <xdr:colOff>7620</xdr:colOff>
      <xdr:row>0</xdr:row>
      <xdr:rowOff>30480</xdr:rowOff>
    </xdr:from>
    <xdr:to>
      <xdr:col>1</xdr:col>
      <xdr:colOff>914400</xdr:colOff>
      <xdr:row>9</xdr:row>
      <xdr:rowOff>121920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Year 1">
              <a:extLst>
                <a:ext uri="{FF2B5EF4-FFF2-40B4-BE49-F238E27FC236}">
                  <a16:creationId xmlns:a16="http://schemas.microsoft.com/office/drawing/2014/main" id="{22687D8B-660D-4EB9-B90E-06E7DC4ED4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0480"/>
              <a:ext cx="186690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541020</xdr:colOff>
      <xdr:row>4</xdr:row>
      <xdr:rowOff>60960</xdr:rowOff>
    </xdr:from>
    <xdr:to>
      <xdr:col>3</xdr:col>
      <xdr:colOff>419100</xdr:colOff>
      <xdr:row>5</xdr:row>
      <xdr:rowOff>167640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89035493-2733-CACD-9963-55A0287489EC}"/>
            </a:ext>
          </a:extLst>
        </xdr:cNvPr>
        <xdr:cNvSpPr txBox="1"/>
      </xdr:nvSpPr>
      <xdr:spPr>
        <a:xfrm>
          <a:off x="2461260" y="792480"/>
          <a:ext cx="838200" cy="289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 u="sng">
              <a:latin typeface="Amasis MT Pro Medium" panose="02040604050005020304" pitchFamily="18" charset="0"/>
            </a:rPr>
            <a:t>VENTAS</a:t>
          </a:r>
        </a:p>
      </xdr:txBody>
    </xdr:sp>
    <xdr:clientData/>
  </xdr:twoCellAnchor>
  <xdr:twoCellAnchor>
    <xdr:from>
      <xdr:col>2</xdr:col>
      <xdr:colOff>76200</xdr:colOff>
      <xdr:row>5</xdr:row>
      <xdr:rowOff>129540</xdr:rowOff>
    </xdr:from>
    <xdr:to>
      <xdr:col>4</xdr:col>
      <xdr:colOff>0</xdr:colOff>
      <xdr:row>8</xdr:row>
      <xdr:rowOff>68580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02F234F2-5B83-465B-CD1C-C744C71054C8}"/>
            </a:ext>
          </a:extLst>
        </xdr:cNvPr>
        <xdr:cNvGrpSpPr/>
      </xdr:nvGrpSpPr>
      <xdr:grpSpPr>
        <a:xfrm>
          <a:off x="1996440" y="1043940"/>
          <a:ext cx="1844040" cy="487680"/>
          <a:chOff x="1996440" y="1043940"/>
          <a:chExt cx="1844040" cy="487680"/>
        </a:xfrm>
      </xdr:grpSpPr>
      <xdr:sp macro="" textlink="CalculosGraficos!B16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C943E369-4266-4551-9C19-2D8EDF55E82A}"/>
              </a:ext>
            </a:extLst>
          </xdr:cNvPr>
          <xdr:cNvSpPr/>
        </xdr:nvSpPr>
        <xdr:spPr>
          <a:xfrm>
            <a:off x="1996440" y="1043940"/>
            <a:ext cx="792480" cy="441960"/>
          </a:xfrm>
          <a:prstGeom prst="roundRect">
            <a:avLst/>
          </a:prstGeom>
          <a:ln w="12700">
            <a:noFill/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B101D322-B795-4665-B093-C76648168D0F}" type="TxLink">
              <a:rPr lang="en-US" sz="1000" b="0" i="0" u="none" strike="noStrike">
                <a:solidFill>
                  <a:srgbClr val="000000"/>
                </a:solidFill>
                <a:latin typeface="Amasis MT Pro Medium" panose="02040604050005020304" pitchFamily="18" charset="0"/>
                <a:ea typeface="Calibri"/>
                <a:cs typeface="Calibri"/>
              </a:rPr>
              <a:pPr algn="ctr"/>
              <a:t> $331,127 </a:t>
            </a:fld>
            <a:endParaRPr lang="en-US" sz="1000">
              <a:latin typeface="Amasis MT Pro Medium" panose="02040604050005020304" pitchFamily="18" charset="0"/>
            </a:endParaRPr>
          </a:p>
        </xdr:txBody>
      </xdr:sp>
      <xdr:sp macro="" textlink="CalculosGraficos!E16">
        <xdr:nvSpPr>
          <xdr:cNvPr id="35" name="Rectángulo: esquinas redondeadas 34">
            <a:extLst>
              <a:ext uri="{FF2B5EF4-FFF2-40B4-BE49-F238E27FC236}">
                <a16:creationId xmlns:a16="http://schemas.microsoft.com/office/drawing/2014/main" id="{2B901708-AFD3-4599-9446-361D94E24C96}"/>
              </a:ext>
            </a:extLst>
          </xdr:cNvPr>
          <xdr:cNvSpPr/>
        </xdr:nvSpPr>
        <xdr:spPr>
          <a:xfrm>
            <a:off x="2842260" y="1043940"/>
            <a:ext cx="914400" cy="449580"/>
          </a:xfrm>
          <a:prstGeom prst="roundRect">
            <a:avLst/>
          </a:prstGeom>
          <a:ln w="12700">
            <a:noFill/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C1BE7597-96A4-4D66-8642-9998FEF8F365}" type="TxLink">
              <a:rPr lang="en-US" sz="1000" b="0" i="0" u="none" strike="noStrike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Amasis MT Pro Medium" panose="02040604050005020304" pitchFamily="18" charset="0"/>
                <a:ea typeface="Calibri"/>
                <a:cs typeface="Calibri"/>
              </a:rPr>
              <a:pPr algn="ctr"/>
              <a:t>8.0%</a:t>
            </a:fld>
            <a:endParaRPr lang="en-US" sz="10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masis MT Pro Medium" panose="02040604050005020304" pitchFamily="18" charset="0"/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8313EA01-F6B9-4FCA-89FE-FAC603A70EA5}"/>
              </a:ext>
            </a:extLst>
          </xdr:cNvPr>
          <xdr:cNvSpPr txBox="1"/>
        </xdr:nvSpPr>
        <xdr:spPr>
          <a:xfrm>
            <a:off x="2026920" y="1242060"/>
            <a:ext cx="838200" cy="289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0" u="none">
                <a:latin typeface="Amasis MT Pro Medium" panose="02040604050005020304" pitchFamily="18" charset="0"/>
              </a:rPr>
              <a:t>millones</a:t>
            </a:r>
            <a:r>
              <a:rPr lang="es-PE" sz="1000" b="0" u="none" baseline="0">
                <a:latin typeface="Amasis MT Pro Medium" panose="02040604050005020304" pitchFamily="18" charset="0"/>
              </a:rPr>
              <a:t> $</a:t>
            </a:r>
            <a:endParaRPr lang="es-PE" sz="1000" b="0" u="none">
              <a:latin typeface="Amasis MT Pro Medium" panose="02040604050005020304" pitchFamily="18" charset="0"/>
            </a:endParaRPr>
          </a:p>
        </xdr:txBody>
      </xdr: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5A3FF69D-856F-4584-A2FA-84C66B05D288}"/>
              </a:ext>
            </a:extLst>
          </xdr:cNvPr>
          <xdr:cNvSpPr txBox="1"/>
        </xdr:nvSpPr>
        <xdr:spPr>
          <a:xfrm>
            <a:off x="3002280" y="1219200"/>
            <a:ext cx="838200" cy="289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 b="0" u="none">
                <a:latin typeface="Amasis MT Pro Medium" panose="02040604050005020304" pitchFamily="18" charset="0"/>
              </a:rPr>
              <a:t>anual</a:t>
            </a:r>
          </a:p>
        </xdr:txBody>
      </xdr:sp>
    </xdr:grpSp>
    <xdr:clientData/>
  </xdr:twoCellAnchor>
  <xdr:twoCellAnchor editAs="oneCell">
    <xdr:from>
      <xdr:col>3</xdr:col>
      <xdr:colOff>297180</xdr:colOff>
      <xdr:row>3</xdr:row>
      <xdr:rowOff>137160</xdr:rowOff>
    </xdr:from>
    <xdr:to>
      <xdr:col>3</xdr:col>
      <xdr:colOff>769620</xdr:colOff>
      <xdr:row>6</xdr:row>
      <xdr:rowOff>60960</xdr:rowOff>
    </xdr:to>
    <xdr:pic>
      <xdr:nvPicPr>
        <xdr:cNvPr id="40" name="Gráfico 39" descr="Monedas contorno">
          <a:extLst>
            <a:ext uri="{FF2B5EF4-FFF2-40B4-BE49-F238E27FC236}">
              <a16:creationId xmlns:a16="http://schemas.microsoft.com/office/drawing/2014/main" id="{F5E8D578-D643-FF72-460A-248CAE5F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77540" y="685800"/>
          <a:ext cx="472440" cy="472440"/>
        </a:xfrm>
        <a:prstGeom prst="rect">
          <a:avLst/>
        </a:prstGeom>
      </xdr:spPr>
    </xdr:pic>
    <xdr:clientData/>
  </xdr:twoCellAnchor>
  <xdr:twoCellAnchor>
    <xdr:from>
      <xdr:col>4</xdr:col>
      <xdr:colOff>182880</xdr:colOff>
      <xdr:row>3</xdr:row>
      <xdr:rowOff>160020</xdr:rowOff>
    </xdr:from>
    <xdr:to>
      <xdr:col>6</xdr:col>
      <xdr:colOff>205740</xdr:colOff>
      <xdr:row>8</xdr:row>
      <xdr:rowOff>137160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860270F2-2CE0-5640-06B8-0C09F6CC5104}"/>
            </a:ext>
          </a:extLst>
        </xdr:cNvPr>
        <xdr:cNvGrpSpPr/>
      </xdr:nvGrpSpPr>
      <xdr:grpSpPr>
        <a:xfrm>
          <a:off x="4023360" y="708660"/>
          <a:ext cx="1943100" cy="891540"/>
          <a:chOff x="4792980" y="746760"/>
          <a:chExt cx="1943100" cy="891540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D5BDF2C5-A9E5-471C-BC0F-25E047F7C28C}"/>
              </a:ext>
            </a:extLst>
          </xdr:cNvPr>
          <xdr:cNvSpPr/>
        </xdr:nvSpPr>
        <xdr:spPr>
          <a:xfrm>
            <a:off x="4792980" y="746760"/>
            <a:ext cx="1920240" cy="891540"/>
          </a:xfrm>
          <a:prstGeom prst="roundRect">
            <a:avLst/>
          </a:prstGeom>
          <a:ln w="12700">
            <a:solidFill>
              <a:srgbClr val="92D050"/>
            </a:solidFill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CalculosGraficos!H17">
        <xdr:nvSpPr>
          <xdr:cNvPr id="46" name="Rectángulo: esquinas redondeadas 45">
            <a:extLst>
              <a:ext uri="{FF2B5EF4-FFF2-40B4-BE49-F238E27FC236}">
                <a16:creationId xmlns:a16="http://schemas.microsoft.com/office/drawing/2014/main" id="{5315E72D-52EF-25D8-849E-330B0B57134A}"/>
              </a:ext>
            </a:extLst>
          </xdr:cNvPr>
          <xdr:cNvSpPr/>
        </xdr:nvSpPr>
        <xdr:spPr>
          <a:xfrm>
            <a:off x="4892040" y="1066800"/>
            <a:ext cx="792480" cy="441960"/>
          </a:xfrm>
          <a:prstGeom prst="roundRect">
            <a:avLst/>
          </a:prstGeom>
          <a:ln w="12700">
            <a:noFill/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49302384-5B51-4A50-9482-66364A645A80}" type="TxLink">
              <a:rPr lang="en-US" sz="1000" b="0" i="0" u="none" strike="noStrike">
                <a:solidFill>
                  <a:srgbClr val="000000"/>
                </a:solidFill>
                <a:latin typeface="Amasis MT Pro Medium" panose="02040604050005020304" pitchFamily="18" charset="0"/>
                <a:ea typeface="Calibri"/>
                <a:cs typeface="Calibri"/>
              </a:rPr>
              <a:pPr algn="ctr"/>
              <a:t> $190,902 </a:t>
            </a:fld>
            <a:endParaRPr lang="en-US" sz="800">
              <a:latin typeface="Amasis MT Pro Medium" panose="02040604050005020304" pitchFamily="18" charset="0"/>
            </a:endParaRPr>
          </a:p>
        </xdr:txBody>
      </xdr:sp>
      <xdr:sp macro="" textlink="CalculosGraficos!I17">
        <xdr:nvSpPr>
          <xdr:cNvPr id="47" name="Rectángulo: esquinas redondeadas 46">
            <a:extLst>
              <a:ext uri="{FF2B5EF4-FFF2-40B4-BE49-F238E27FC236}">
                <a16:creationId xmlns:a16="http://schemas.microsoft.com/office/drawing/2014/main" id="{7C9A71C8-C99F-1732-6ACC-E8D44B57AE95}"/>
              </a:ext>
            </a:extLst>
          </xdr:cNvPr>
          <xdr:cNvSpPr/>
        </xdr:nvSpPr>
        <xdr:spPr>
          <a:xfrm>
            <a:off x="5737860" y="1066800"/>
            <a:ext cx="914400" cy="449580"/>
          </a:xfrm>
          <a:prstGeom prst="roundRect">
            <a:avLst/>
          </a:prstGeom>
          <a:ln w="12700">
            <a:noFill/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9ED286A1-17CF-4478-A6BF-A1BBB9F5A685}" type="TxLink">
              <a:rPr lang="en-US" sz="11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bri"/>
                <a:ea typeface="Calibri"/>
                <a:cs typeface="Calibri"/>
              </a:rPr>
              <a:pPr algn="ctr"/>
              <a:t>6.3%</a:t>
            </a:fld>
            <a:endParaRPr lang="en-US" sz="10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masis MT Pro Medium" panose="02040604050005020304" pitchFamily="18" charset="0"/>
            </a:endParaRPr>
          </a:p>
        </xdr:txBody>
      </xdr:sp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AC62E3CE-0CE8-C4E0-025F-7705680A7E86}"/>
              </a:ext>
            </a:extLst>
          </xdr:cNvPr>
          <xdr:cNvSpPr txBox="1"/>
        </xdr:nvSpPr>
        <xdr:spPr>
          <a:xfrm>
            <a:off x="4922520" y="1264920"/>
            <a:ext cx="838200" cy="289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0" u="none">
                <a:latin typeface="Amasis MT Pro Medium" panose="02040604050005020304" pitchFamily="18" charset="0"/>
              </a:rPr>
              <a:t>millones</a:t>
            </a:r>
            <a:r>
              <a:rPr lang="es-PE" sz="1000" b="0" u="none" baseline="0">
                <a:latin typeface="Amasis MT Pro Medium" panose="02040604050005020304" pitchFamily="18" charset="0"/>
              </a:rPr>
              <a:t> $</a:t>
            </a:r>
            <a:endParaRPr lang="es-PE" sz="1000" b="0" u="none">
              <a:latin typeface="Amasis MT Pro Medium" panose="02040604050005020304" pitchFamily="18" charset="0"/>
            </a:endParaRPr>
          </a:p>
        </xdr:txBody>
      </xdr:sp>
      <xdr:sp macro="" textlink="">
        <xdr:nvSpPr>
          <xdr:cNvPr id="49" name="CuadroTexto 48">
            <a:extLst>
              <a:ext uri="{FF2B5EF4-FFF2-40B4-BE49-F238E27FC236}">
                <a16:creationId xmlns:a16="http://schemas.microsoft.com/office/drawing/2014/main" id="{86E0D5B4-2A03-E572-B0D8-B04B1215844A}"/>
              </a:ext>
            </a:extLst>
          </xdr:cNvPr>
          <xdr:cNvSpPr txBox="1"/>
        </xdr:nvSpPr>
        <xdr:spPr>
          <a:xfrm>
            <a:off x="5897880" y="1242060"/>
            <a:ext cx="838200" cy="289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 b="0" u="none">
                <a:latin typeface="Amasis MT Pro Medium" panose="02040604050005020304" pitchFamily="18" charset="0"/>
              </a:rPr>
              <a:t>anual</a:t>
            </a:r>
          </a:p>
        </xdr:txBody>
      </xdr: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83FF06E7-854A-4694-A3C3-0B94CCF79C8A}"/>
              </a:ext>
            </a:extLst>
          </xdr:cNvPr>
          <xdr:cNvSpPr txBox="1"/>
        </xdr:nvSpPr>
        <xdr:spPr>
          <a:xfrm>
            <a:off x="5074920" y="807720"/>
            <a:ext cx="1470660" cy="2667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000" b="1" u="sng">
                <a:latin typeface="Amasis MT Pro Medium" panose="02040604050005020304" pitchFamily="18" charset="0"/>
              </a:rPr>
              <a:t>COSTO</a:t>
            </a:r>
            <a:r>
              <a:rPr lang="es-PE" sz="1100" b="1" u="sng">
                <a:latin typeface="Amasis MT Pro Medium" panose="02040604050005020304" pitchFamily="18" charset="0"/>
              </a:rPr>
              <a:t> DE VENTAS</a:t>
            </a:r>
          </a:p>
        </xdr:txBody>
      </xdr:sp>
    </xdr:grpSp>
    <xdr:clientData/>
  </xdr:twoCellAnchor>
  <xdr:twoCellAnchor>
    <xdr:from>
      <xdr:col>6</xdr:col>
      <xdr:colOff>373380</xdr:colOff>
      <xdr:row>4</xdr:row>
      <xdr:rowOff>0</xdr:rowOff>
    </xdr:from>
    <xdr:to>
      <xdr:col>8</xdr:col>
      <xdr:colOff>403860</xdr:colOff>
      <xdr:row>8</xdr:row>
      <xdr:rowOff>137160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4D490DEA-CC23-9300-7987-FB162622E140}"/>
            </a:ext>
          </a:extLst>
        </xdr:cNvPr>
        <xdr:cNvGrpSpPr/>
      </xdr:nvGrpSpPr>
      <xdr:grpSpPr>
        <a:xfrm>
          <a:off x="6134100" y="731520"/>
          <a:ext cx="1950720" cy="868680"/>
          <a:chOff x="7696200" y="754380"/>
          <a:chExt cx="1950720" cy="868680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309A6691-FEB1-4204-BA8F-B43B50A0CFD5}"/>
              </a:ext>
            </a:extLst>
          </xdr:cNvPr>
          <xdr:cNvSpPr/>
        </xdr:nvSpPr>
        <xdr:spPr>
          <a:xfrm>
            <a:off x="7696200" y="754380"/>
            <a:ext cx="1920240" cy="868680"/>
          </a:xfrm>
          <a:prstGeom prst="roundRect">
            <a:avLst/>
          </a:prstGeom>
          <a:ln w="12700">
            <a:solidFill>
              <a:srgbClr val="92D050"/>
            </a:solidFill>
            <a:prstDash val="das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reflection blurRad="6350" stA="52000" endA="300" endPos="35000" dir="5400000" sy="-100000" algn="bl" rotWithShape="0"/>
          </a:effectLst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grpSp>
        <xdr:nvGrpSpPr>
          <xdr:cNvPr id="56" name="Grupo 55">
            <a:extLst>
              <a:ext uri="{FF2B5EF4-FFF2-40B4-BE49-F238E27FC236}">
                <a16:creationId xmlns:a16="http://schemas.microsoft.com/office/drawing/2014/main" id="{D05D5D03-79FA-4DCE-8A76-C5A81252AD48}"/>
              </a:ext>
            </a:extLst>
          </xdr:cNvPr>
          <xdr:cNvGrpSpPr/>
        </xdr:nvGrpSpPr>
        <xdr:grpSpPr>
          <a:xfrm>
            <a:off x="7802880" y="1112520"/>
            <a:ext cx="1844040" cy="487680"/>
            <a:chOff x="1996440" y="1043940"/>
            <a:chExt cx="1844040" cy="487680"/>
          </a:xfrm>
        </xdr:grpSpPr>
        <xdr:sp macro="" textlink="CalculosGraficos!B16">
          <xdr:nvSpPr>
            <xdr:cNvPr id="57" name="Rectángulo: esquinas redondeadas 56">
              <a:extLst>
                <a:ext uri="{FF2B5EF4-FFF2-40B4-BE49-F238E27FC236}">
                  <a16:creationId xmlns:a16="http://schemas.microsoft.com/office/drawing/2014/main" id="{21BAC371-D488-1177-F935-D728337823F4}"/>
                </a:ext>
              </a:extLst>
            </xdr:cNvPr>
            <xdr:cNvSpPr/>
          </xdr:nvSpPr>
          <xdr:spPr>
            <a:xfrm>
              <a:off x="1996440" y="1043940"/>
              <a:ext cx="792480" cy="441960"/>
            </a:xfrm>
            <a:prstGeom prst="roundRect">
              <a:avLst/>
            </a:prstGeom>
            <a:ln w="12700">
              <a:noFill/>
              <a:prstDash val="dash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reflection blurRad="6350" stA="52000" endA="300" endPos="35000" dir="5400000" sy="-100000" algn="bl" rotWithShape="0"/>
            </a:effectLst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fld id="{B101D322-B795-4665-B093-C76648168D0F}" type="TxLink">
                <a:rPr lang="en-US" sz="1000" b="0" i="0" u="none" strike="noStrike">
                  <a:solidFill>
                    <a:srgbClr val="000000"/>
                  </a:solidFill>
                  <a:latin typeface="Amasis MT Pro Medium" panose="02040604050005020304" pitchFamily="18" charset="0"/>
                  <a:ea typeface="Calibri"/>
                  <a:cs typeface="Calibri"/>
                </a:rPr>
                <a:pPr algn="ctr"/>
                <a:t> $331,127 </a:t>
              </a:fld>
              <a:endParaRPr lang="en-US" sz="1000">
                <a:latin typeface="Amasis MT Pro Medium" panose="02040604050005020304" pitchFamily="18" charset="0"/>
              </a:endParaRPr>
            </a:p>
          </xdr:txBody>
        </xdr:sp>
        <xdr:sp macro="" textlink="CalculosGraficos!E16">
          <xdr:nvSpPr>
            <xdr:cNvPr id="58" name="Rectángulo: esquinas redondeadas 57">
              <a:extLst>
                <a:ext uri="{FF2B5EF4-FFF2-40B4-BE49-F238E27FC236}">
                  <a16:creationId xmlns:a16="http://schemas.microsoft.com/office/drawing/2014/main" id="{6E3D4F5B-6F0C-240F-344C-BFD7582C322C}"/>
                </a:ext>
              </a:extLst>
            </xdr:cNvPr>
            <xdr:cNvSpPr/>
          </xdr:nvSpPr>
          <xdr:spPr>
            <a:xfrm>
              <a:off x="2842260" y="1043940"/>
              <a:ext cx="914400" cy="449580"/>
            </a:xfrm>
            <a:prstGeom prst="roundRect">
              <a:avLst/>
            </a:prstGeom>
            <a:ln w="12700">
              <a:noFill/>
              <a:prstDash val="dash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reflection blurRad="6350" stA="52000" endA="300" endPos="35000" dir="5400000" sy="-100000" algn="bl" rotWithShape="0"/>
            </a:effectLst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fld id="{C1BE7597-96A4-4D66-8642-9998FEF8F365}" type="TxLink">
                <a:rPr lang="en-US" sz="1000" b="0" i="0" u="none" strike="noStrike" cap="none" spc="0">
                  <a:ln w="0"/>
                  <a:solidFill>
                    <a:sysClr val="windowText" lastClr="000000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masis MT Pro Medium" panose="02040604050005020304" pitchFamily="18" charset="0"/>
                  <a:ea typeface="Calibri"/>
                  <a:cs typeface="Calibri"/>
                </a:rPr>
                <a:pPr algn="ctr"/>
                <a:t>8.0%</a:t>
              </a:fld>
              <a:endParaRPr lang="en-US" sz="1000" b="0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Amasis MT Pro Medium" panose="02040604050005020304" pitchFamily="18" charset="0"/>
              </a:endParaRPr>
            </a:p>
          </xdr:txBody>
        </xdr:sp>
        <xdr:sp macro="" textlink="">
          <xdr:nvSpPr>
            <xdr:cNvPr id="59" name="CuadroTexto 58">
              <a:extLst>
                <a:ext uri="{FF2B5EF4-FFF2-40B4-BE49-F238E27FC236}">
                  <a16:creationId xmlns:a16="http://schemas.microsoft.com/office/drawing/2014/main" id="{AADB3D3C-E36D-D759-09E7-D27C31F4288F}"/>
                </a:ext>
              </a:extLst>
            </xdr:cNvPr>
            <xdr:cNvSpPr txBox="1"/>
          </xdr:nvSpPr>
          <xdr:spPr>
            <a:xfrm>
              <a:off x="2026920" y="1242060"/>
              <a:ext cx="838200" cy="28956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000" b="0" u="none">
                  <a:latin typeface="Amasis MT Pro Medium" panose="02040604050005020304" pitchFamily="18" charset="0"/>
                </a:rPr>
                <a:t>millones</a:t>
              </a:r>
              <a:r>
                <a:rPr lang="es-PE" sz="1000" b="0" u="none" baseline="0">
                  <a:latin typeface="Amasis MT Pro Medium" panose="02040604050005020304" pitchFamily="18" charset="0"/>
                </a:rPr>
                <a:t> $</a:t>
              </a:r>
              <a:endParaRPr lang="es-PE" sz="1000" b="0" u="none">
                <a:latin typeface="Amasis MT Pro Medium" panose="02040604050005020304" pitchFamily="18" charset="0"/>
              </a:endParaRPr>
            </a:p>
          </xdr:txBody>
        </xdr:sp>
        <xdr:sp macro="" textlink="">
          <xdr:nvSpPr>
            <xdr:cNvPr id="60" name="CuadroTexto 59">
              <a:extLst>
                <a:ext uri="{FF2B5EF4-FFF2-40B4-BE49-F238E27FC236}">
                  <a16:creationId xmlns:a16="http://schemas.microsoft.com/office/drawing/2014/main" id="{17D786A4-1791-CE16-8B77-477072BECB64}"/>
                </a:ext>
              </a:extLst>
            </xdr:cNvPr>
            <xdr:cNvSpPr txBox="1"/>
          </xdr:nvSpPr>
          <xdr:spPr>
            <a:xfrm>
              <a:off x="3002280" y="1219200"/>
              <a:ext cx="838200" cy="28956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00" b="0" u="none">
                  <a:latin typeface="Amasis MT Pro Medium" panose="02040604050005020304" pitchFamily="18" charset="0"/>
                </a:rPr>
                <a:t>anual</a:t>
              </a:r>
            </a:p>
          </xdr:txBody>
        </xdr:sp>
      </xdr:grpSp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606F82E1-AB79-446F-9FB0-58E31AB0ACE2}"/>
              </a:ext>
            </a:extLst>
          </xdr:cNvPr>
          <xdr:cNvSpPr txBox="1"/>
        </xdr:nvSpPr>
        <xdr:spPr>
          <a:xfrm>
            <a:off x="7879080" y="777240"/>
            <a:ext cx="1562100" cy="3657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100" b="1" u="sng">
                <a:latin typeface="Amasis MT Pro Medium" panose="02040604050005020304" pitchFamily="18" charset="0"/>
              </a:rPr>
              <a:t>UTILIDAD</a:t>
            </a:r>
            <a:r>
              <a:rPr lang="es-PE" sz="1100" b="1" u="sng" baseline="0">
                <a:latin typeface="Amasis MT Pro Medium" panose="02040604050005020304" pitchFamily="18" charset="0"/>
              </a:rPr>
              <a:t> NETA</a:t>
            </a:r>
            <a:endParaRPr lang="es-PE" sz="1100" b="1" u="sng">
              <a:latin typeface="Amasis MT Pro Medium" panose="02040604050005020304" pitchFamily="18" charset="0"/>
            </a:endParaRPr>
          </a:p>
        </xdr:txBody>
      </xdr:sp>
    </xdr:grpSp>
    <xdr:clientData/>
  </xdr:twoCellAnchor>
  <xdr:twoCellAnchor>
    <xdr:from>
      <xdr:col>9</xdr:col>
      <xdr:colOff>815340</xdr:colOff>
      <xdr:row>5</xdr:row>
      <xdr:rowOff>83820</xdr:rowOff>
    </xdr:from>
    <xdr:to>
      <xdr:col>11</xdr:col>
      <xdr:colOff>251460</xdr:colOff>
      <xdr:row>6</xdr:row>
      <xdr:rowOff>137160</xdr:rowOff>
    </xdr:to>
    <xdr:sp macro="" textlink="CalculosGraficos!M16">
      <xdr:nvSpPr>
        <xdr:cNvPr id="64" name="Rectángulo: esquinas redondeadas 63">
          <a:extLst>
            <a:ext uri="{FF2B5EF4-FFF2-40B4-BE49-F238E27FC236}">
              <a16:creationId xmlns:a16="http://schemas.microsoft.com/office/drawing/2014/main" id="{01B265A3-792B-41BD-93EC-720AB2174CAA}"/>
            </a:ext>
          </a:extLst>
        </xdr:cNvPr>
        <xdr:cNvSpPr/>
      </xdr:nvSpPr>
      <xdr:spPr>
        <a:xfrm>
          <a:off x="9456420" y="998220"/>
          <a:ext cx="1356360" cy="236220"/>
        </a:xfrm>
        <a:prstGeom prst="roundRect">
          <a:avLst/>
        </a:prstGeom>
        <a:ln w="12700"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083969B8-DAA7-4BBC-8B9E-1F20CEAA71A2}" type="TxLink">
            <a:rPr lang="en-US" sz="1100" b="1" i="0" u="none" strike="noStrike">
              <a:solidFill>
                <a:srgbClr val="000000"/>
              </a:solidFill>
              <a:latin typeface="Amasis MT Pro Medium" panose="02040604050005020304" pitchFamily="18" charset="0"/>
              <a:ea typeface="Calibri"/>
              <a:cs typeface="Calibri"/>
            </a:rPr>
            <a:pPr algn="ctr"/>
            <a:t>24%</a:t>
          </a:fld>
          <a:endParaRPr lang="en-US" sz="1000" b="1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9</xdr:col>
      <xdr:colOff>815340</xdr:colOff>
      <xdr:row>7</xdr:row>
      <xdr:rowOff>7620</xdr:rowOff>
    </xdr:from>
    <xdr:to>
      <xdr:col>11</xdr:col>
      <xdr:colOff>266700</xdr:colOff>
      <xdr:row>8</xdr:row>
      <xdr:rowOff>38100</xdr:rowOff>
    </xdr:to>
    <xdr:sp macro="" textlink="CalculosGraficos!N16">
      <xdr:nvSpPr>
        <xdr:cNvPr id="65" name="Rectángulo: esquinas redondeadas 64">
          <a:extLst>
            <a:ext uri="{FF2B5EF4-FFF2-40B4-BE49-F238E27FC236}">
              <a16:creationId xmlns:a16="http://schemas.microsoft.com/office/drawing/2014/main" id="{C25D7A6A-00B5-4847-9ADA-072A10FA3E2D}"/>
            </a:ext>
          </a:extLst>
        </xdr:cNvPr>
        <xdr:cNvSpPr/>
      </xdr:nvSpPr>
      <xdr:spPr>
        <a:xfrm>
          <a:off x="9456420" y="1287780"/>
          <a:ext cx="1371600" cy="213360"/>
        </a:xfrm>
        <a:prstGeom prst="roundRect">
          <a:avLst/>
        </a:prstGeom>
        <a:ln w="12700"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C4D7CB2F-05DF-4725-8660-CF49A2A11AD2}" type="TxLink">
            <a:rPr lang="en-US" sz="1100" b="1" i="0" u="none" strike="noStrike">
              <a:solidFill>
                <a:srgbClr val="000000"/>
              </a:solidFill>
              <a:latin typeface="Amasis MT Pro Medium" panose="02040604050005020304" pitchFamily="18" charset="0"/>
              <a:ea typeface="Calibri"/>
              <a:cs typeface="Calibri"/>
            </a:rPr>
            <a:pPr algn="ctr"/>
            <a:t>28%</a:t>
          </a:fld>
          <a:endParaRPr lang="en-US" sz="1000" b="1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9</xdr:col>
      <xdr:colOff>822960</xdr:colOff>
      <xdr:row>4</xdr:row>
      <xdr:rowOff>22860</xdr:rowOff>
    </xdr:from>
    <xdr:to>
      <xdr:col>11</xdr:col>
      <xdr:colOff>243840</xdr:colOff>
      <xdr:row>5</xdr:row>
      <xdr:rowOff>0</xdr:rowOff>
    </xdr:to>
    <xdr:sp macro="" textlink="CalculosGraficos!L16">
      <xdr:nvSpPr>
        <xdr:cNvPr id="66" name="Rectángulo: esquinas redondeadas 65">
          <a:extLst>
            <a:ext uri="{FF2B5EF4-FFF2-40B4-BE49-F238E27FC236}">
              <a16:creationId xmlns:a16="http://schemas.microsoft.com/office/drawing/2014/main" id="{9F441D1F-7C3B-4C16-83DB-781AA1FA7C1D}"/>
            </a:ext>
          </a:extLst>
        </xdr:cNvPr>
        <xdr:cNvSpPr/>
      </xdr:nvSpPr>
      <xdr:spPr>
        <a:xfrm>
          <a:off x="9464040" y="754380"/>
          <a:ext cx="1341120" cy="160020"/>
        </a:xfrm>
        <a:prstGeom prst="roundRect">
          <a:avLst/>
        </a:prstGeom>
        <a:ln w="12700"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7FD6C69-FA3B-4F9C-BC26-C31B32E862E3}" type="TxLink">
            <a:rPr lang="en-US" sz="1100" b="1" i="0" u="none" strike="noStrike">
              <a:solidFill>
                <a:srgbClr val="000000"/>
              </a:solidFill>
              <a:latin typeface="Amasis MT Pro Medium" panose="02040604050005020304" pitchFamily="18" charset="0"/>
              <a:ea typeface="Calibri"/>
              <a:cs typeface="Calibri"/>
            </a:rPr>
            <a:pPr algn="ctr"/>
            <a:t>42%</a:t>
          </a:fld>
          <a:endParaRPr lang="en-US" sz="1000" b="1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8</xdr:col>
      <xdr:colOff>731520</xdr:colOff>
      <xdr:row>4</xdr:row>
      <xdr:rowOff>7620</xdr:rowOff>
    </xdr:from>
    <xdr:to>
      <xdr:col>9</xdr:col>
      <xdr:colOff>754380</xdr:colOff>
      <xdr:row>6</xdr:row>
      <xdr:rowOff>7620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1A0A8665-67B8-4131-B0DA-17C0C955DE8A}"/>
            </a:ext>
          </a:extLst>
        </xdr:cNvPr>
        <xdr:cNvSpPr txBox="1"/>
      </xdr:nvSpPr>
      <xdr:spPr>
        <a:xfrm>
          <a:off x="8412480" y="739140"/>
          <a:ext cx="982980" cy="3657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700" b="1" u="none">
              <a:latin typeface="Amasis MT Pro Medium" panose="02040604050005020304" pitchFamily="18" charset="0"/>
            </a:rPr>
            <a:t>Margen U Bruta</a:t>
          </a:r>
        </a:p>
        <a:p>
          <a:pPr algn="ctr"/>
          <a:endParaRPr lang="es-PE" sz="700" b="1" u="none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8</xdr:col>
      <xdr:colOff>746760</xdr:colOff>
      <xdr:row>5</xdr:row>
      <xdr:rowOff>83820</xdr:rowOff>
    </xdr:from>
    <xdr:to>
      <xdr:col>9</xdr:col>
      <xdr:colOff>838200</xdr:colOff>
      <xdr:row>7</xdr:row>
      <xdr:rowOff>83820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91D5AEE5-B879-4417-AD93-3419732CE9CA}"/>
            </a:ext>
          </a:extLst>
        </xdr:cNvPr>
        <xdr:cNvSpPr txBox="1"/>
      </xdr:nvSpPr>
      <xdr:spPr>
        <a:xfrm>
          <a:off x="8427720" y="998220"/>
          <a:ext cx="1051560" cy="3657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700" b="1" u="none">
              <a:latin typeface="Amasis MT Pro Medium" panose="02040604050005020304" pitchFamily="18" charset="0"/>
            </a:rPr>
            <a:t>Margen U Operativa</a:t>
          </a:r>
        </a:p>
        <a:p>
          <a:pPr algn="ctr"/>
          <a:endParaRPr lang="es-PE" sz="700" b="1" u="none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8</xdr:col>
      <xdr:colOff>670560</xdr:colOff>
      <xdr:row>7</xdr:row>
      <xdr:rowOff>0</xdr:rowOff>
    </xdr:from>
    <xdr:to>
      <xdr:col>9</xdr:col>
      <xdr:colOff>792480</xdr:colOff>
      <xdr:row>9</xdr:row>
      <xdr:rowOff>0</xdr:rowOff>
    </xdr:to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E87A641E-80C9-410F-BCCA-F3D5535E6C3A}"/>
            </a:ext>
          </a:extLst>
        </xdr:cNvPr>
        <xdr:cNvSpPr txBox="1"/>
      </xdr:nvSpPr>
      <xdr:spPr>
        <a:xfrm>
          <a:off x="8351520" y="1280160"/>
          <a:ext cx="1082040" cy="3657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700" b="1" u="none">
              <a:latin typeface="Amasis MT Pro Medium" panose="02040604050005020304" pitchFamily="18" charset="0"/>
            </a:rPr>
            <a:t>Margen U Neta</a:t>
          </a:r>
        </a:p>
        <a:p>
          <a:pPr algn="ctr"/>
          <a:endParaRPr lang="es-PE" sz="700" b="1" u="none"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5</xdr:col>
      <xdr:colOff>922020</xdr:colOff>
      <xdr:row>10</xdr:row>
      <xdr:rowOff>7620</xdr:rowOff>
    </xdr:from>
    <xdr:to>
      <xdr:col>12</xdr:col>
      <xdr:colOff>937260</xdr:colOff>
      <xdr:row>18</xdr:row>
      <xdr:rowOff>175260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94621CB2-FDED-4EBB-B33D-E3E03BD34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952500</xdr:colOff>
      <xdr:row>10</xdr:row>
      <xdr:rowOff>7620</xdr:rowOff>
    </xdr:from>
    <xdr:to>
      <xdr:col>5</xdr:col>
      <xdr:colOff>38100</xdr:colOff>
      <xdr:row>19</xdr:row>
      <xdr:rowOff>45720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994A67B8-86D5-45D7-A0FD-3C68F2C79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899160</xdr:colOff>
      <xdr:row>19</xdr:row>
      <xdr:rowOff>106680</xdr:rowOff>
    </xdr:from>
    <xdr:to>
      <xdr:col>12</xdr:col>
      <xdr:colOff>922020</xdr:colOff>
      <xdr:row>29</xdr:row>
      <xdr:rowOff>53340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2AEC83-7183-4EB3-AAED-0698068B2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960119</xdr:colOff>
      <xdr:row>20</xdr:row>
      <xdr:rowOff>0</xdr:rowOff>
    </xdr:from>
    <xdr:to>
      <xdr:col>5</xdr:col>
      <xdr:colOff>22860</xdr:colOff>
      <xdr:row>29</xdr:row>
      <xdr:rowOff>45720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036AD4F-6C44-4DE3-86A1-F7CD9BE46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val" refreshedDate="46040.872300578703" createdVersion="8" refreshedVersion="8" minRefreshableVersion="3" recordCount="9" xr:uid="{756C6CAB-0AF8-4076-B7B5-4DCF6A0720DA}">
  <cacheSource type="worksheet">
    <worksheetSource name="Data"/>
  </cacheSource>
  <cacheFields count="41">
    <cacheField name="end" numFmtId="164">
      <sharedItems containsSemiMixedTypes="0" containsNonDate="0" containsDate="1" containsString="0" minDate="2016-09-24T00:00:00" maxDate="2025-09-28T00:00:00" count="10">
        <d v="2025-09-27T00:00:00"/>
        <d v="2024-09-28T00:00:00"/>
        <d v="2023-09-30T00:00:00"/>
        <d v="2022-09-24T00:00:00"/>
        <d v="2021-09-25T00:00:00"/>
        <d v="2020-09-26T00:00:00"/>
        <d v="2019-09-28T00:00:00"/>
        <d v="2018-09-29T00:00:00"/>
        <d v="2017-09-30T00:00:00"/>
        <d v="2016-09-24T00:00:00" u="1"/>
      </sharedItems>
      <fieldGroup par="38"/>
    </cacheField>
    <cacheField name="CostOfGoodsAndServicesSold" numFmtId="165">
      <sharedItems containsSemiMixedTypes="0" containsString="0" containsNumber="1" containsInteger="1" minValue="141048000000" maxValue="223546000000"/>
    </cacheField>
    <cacheField name="GrossProfit" numFmtId="165">
      <sharedItems containsSemiMixedTypes="0" containsString="0" containsNumber="1" containsInteger="1" minValue="88186000000" maxValue="195201000000"/>
    </cacheField>
    <cacheField name="OperatingIncomeLoss" numFmtId="165">
      <sharedItems containsSemiMixedTypes="0" containsString="0" containsNumber="1" containsInteger="1" minValue="61344000000" maxValue="133050000000"/>
    </cacheField>
    <cacheField name="ResearchAndDevelopmentExpense" numFmtId="165">
      <sharedItems containsSemiMixedTypes="0" containsString="0" containsNumber="1" containsInteger="1" minValue="11581000000" maxValue="34550000000"/>
    </cacheField>
    <cacheField name="SellingGeneralAndAdministrativeExpense" numFmtId="165">
      <sharedItems containsSemiMixedTypes="0" containsString="0" containsNumber="1" containsInteger="1" minValue="15261000000" maxValue="27601000000"/>
    </cacheField>
    <cacheField name="IncomeTaxExpenseBenefit" numFmtId="165">
      <sharedItems containsSemiMixedTypes="0" containsString="0" containsNumber="1" containsInteger="1" minValue="9680000000" maxValue="29749000000"/>
    </cacheField>
    <cacheField name="NetIncomeLoss" numFmtId="165">
      <sharedItems containsSemiMixedTypes="0" containsString="0" containsNumber="1" containsInteger="1" minValue="48351000000" maxValue="112010000000"/>
    </cacheField>
    <cacheField name="Assets" numFmtId="165">
      <sharedItems containsSemiMixedTypes="0" containsString="0" containsNumber="1" containsInteger="1" minValue="323888000000" maxValue="375319000000"/>
    </cacheField>
    <cacheField name="AssetsCurrent" numFmtId="165">
      <sharedItems containsSemiMixedTypes="0" containsString="0" containsNumber="1" containsInteger="1" minValue="128645000000" maxValue="162819000000"/>
    </cacheField>
    <cacheField name="Liabilities" numFmtId="165">
      <sharedItems containsSemiMixedTypes="0" containsString="0" containsNumber="1" containsInteger="1" minValue="241272000000" maxValue="308030000000"/>
    </cacheField>
    <cacheField name="LiabilitiesCurrent" numFmtId="165">
      <sharedItems containsSemiMixedTypes="0" containsString="0" containsNumber="1" containsInteger="1" minValue="100814000000" maxValue="176392000000"/>
    </cacheField>
    <cacheField name="StockholdersEquity" numFmtId="165">
      <sharedItems containsSemiMixedTypes="0" containsString="0" containsNumber="1" containsInteger="1" minValue="50672000000" maxValue="134047000000"/>
    </cacheField>
    <cacheField name="CashAndCashEquivalentsAtCarryingValue" numFmtId="165">
      <sharedItems containsSemiMixedTypes="0" containsString="0" containsNumber="1" containsInteger="1" minValue="20289000000" maxValue="48844000000"/>
    </cacheField>
    <cacheField name="MarketableSecuritiesCurrent" numFmtId="165">
      <sharedItems containsString="0" containsBlank="1" containsNumber="1" containsInteger="1" minValue="18763000000" maxValue="52927000000"/>
    </cacheField>
    <cacheField name="LongTermDebtCurrent" numFmtId="165">
      <sharedItems containsSemiMixedTypes="0" containsString="0" containsNumber="1" containsInteger="1" minValue="6496000000" maxValue="12350000000"/>
    </cacheField>
    <cacheField name="LongTermDebtNoncurrent" numFmtId="165">
      <sharedItems containsSemiMixedTypes="0" containsString="0" containsNumber="1" containsInteger="1" minValue="78328000000" maxValue="109106000000"/>
    </cacheField>
    <cacheField name="PropertyPlantAndEquipmentNet" numFmtId="165">
      <sharedItems containsSemiMixedTypes="0" containsString="0" containsNumber="1" containsInteger="1" minValue="33783000000" maxValue="49834000000"/>
    </cacheField>
    <cacheField name="Revenue" numFmtId="0">
      <sharedItems containsSemiMixedTypes="0" containsString="0" containsNumber="1" containsInteger="1" minValue="229234000000" maxValue="416161000000"/>
    </cacheField>
    <cacheField name="LongTermDebt" numFmtId="0">
      <sharedItems containsSemiMixedTypes="0" containsString="0" containsNumber="1" containsInteger="1" minValue="90678000000" maxValue="118719000000"/>
    </cacheField>
    <cacheField name="GrossMargin" numFmtId="0">
      <sharedItems containsSemiMixedTypes="0" containsString="0" containsNumber="1" minValue="0.37817768109034722" maxValue="0.46905164107160452"/>
    </cacheField>
    <cacheField name="OperatingMargin" numFmtId="0">
      <sharedItems containsSemiMixedTypes="0" containsString="0" containsNumber="1" minValue="0.2414731435440686" maxValue="0.31970799762591878"/>
    </cacheField>
    <cacheField name="NetMargin" numFmtId="0">
      <sharedItems containsSemiMixedTypes="0" containsString="0" containsNumber="1" minValue="0.20913611278072239" maxValue="0.26915064121818238"/>
    </cacheField>
    <cacheField name="RevenueGrowth" numFmtId="0">
      <sharedItems containsSemiMixedTypes="0" containsString="0" containsNumber="1" minValue="-2.800460530319937E-2" maxValue="0.33259384733074698"/>
    </cacheField>
    <cacheField name="CostGrowth" numFmtId="0">
      <sharedItems containsSemiMixedTypes="0" containsString="0" containsNumber="1" minValue="-4.208977123276636E-2" maxValue="0.25608785142634721"/>
    </cacheField>
    <cacheField name="ROA" numFmtId="0">
      <sharedItems containsSemiMixedTypes="0" containsString="0" containsNumber="1" minValue="0.1288264116658096" maxValue="0.31179625933565491"/>
    </cacheField>
    <cacheField name="ROE" numFmtId="0">
      <sharedItems containsSemiMixedTypes="0" containsString="0" containsNumber="1" minValue="0.36070184338329092" maxValue="1.969588727502368"/>
    </cacheField>
    <cacheField name="DebtToAssets" numFmtId="0">
      <sharedItems containsSemiMixedTypes="0" containsString="0" containsNumber="1" minValue="0.2524155093655791" maxValue="0.33822884200090031"/>
    </cacheField>
    <cacheField name="CurrentRatio" numFmtId="0">
      <sharedItems containsSemiMixedTypes="0" containsString="0" containsNumber="1" minValue="0.86731257653408322" maxValue="1.540125617208044"/>
    </cacheField>
    <cacheField name="Year" numFmtId="0">
      <sharedItems containsSemiMixedTypes="0" containsString="0" containsNumber="1" containsInteger="1" minValue="2016" maxValue="2025" count="10">
        <n v="2025"/>
        <n v="2024"/>
        <n v="2023"/>
        <n v="2022"/>
        <n v="2021"/>
        <n v="2020"/>
        <n v="2019"/>
        <n v="2018"/>
        <n v="2017"/>
        <n v="2016" u="1"/>
      </sharedItems>
    </cacheField>
    <cacheField name="%liabilities" numFmtId="0">
      <sharedItems containsSemiMixedTypes="0" containsString="0" containsNumber="1" minValue="0.64284515305646661" maxValue="0.85635355983614692"/>
    </cacheField>
    <cacheField name="InP" numFmtId="2">
      <sharedItems containsSemiMixedTypes="0" containsString="0" containsNumber="1" containsInteger="1" minValue="196534" maxValue="316199"/>
    </cacheField>
    <cacheField name="InS" numFmtId="2">
      <sharedItems containsSemiMixedTypes="0" containsString="0" containsNumber="1" containsInteger="1" minValue="32700" maxValue="109158"/>
    </cacheField>
    <cacheField name="LnP%" numFmtId="0">
      <sharedItems containsSemiMixedTypes="0" containsString="0" containsNumber="1" minValue="0.73770247572453929" maxValue="0.85735100377779916"/>
    </cacheField>
    <cacheField name="LnS%" numFmtId="0">
      <sharedItems containsSemiMixedTypes="0" containsString="0" containsNumber="1" minValue="0.1426489962222009" maxValue="0.26229752427546071"/>
    </cacheField>
    <cacheField name="Columna1" numFmtId="2">
      <sharedItems containsSemiMixedTypes="0" containsString="0" containsNumber="1" minValue="0.2524155093655791" maxValue="0.33822884200090025"/>
    </cacheField>
    <cacheField name="Meses (end)" numFmtId="0" databaseField="0">
      <fieldGroup base="0">
        <rangePr groupBy="months" startDate="2017-09-30T00:00:00" endDate="2025-09-28T00:00:00"/>
        <groupItems count="14">
          <s v="&lt;9/30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8/2025"/>
        </groupItems>
      </fieldGroup>
    </cacheField>
    <cacheField name="Trimestres (end)" numFmtId="0" databaseField="0">
      <fieldGroup base="0">
        <rangePr groupBy="quarters" startDate="2017-09-30T00:00:00" endDate="2025-09-28T00:00:00"/>
        <groupItems count="6">
          <s v="&lt;9/30/2017"/>
          <s v="Trim.1"/>
          <s v="Trim.2"/>
          <s v="Trim.3"/>
          <s v="Trim.4"/>
          <s v="&gt;9/28/2025"/>
        </groupItems>
      </fieldGroup>
    </cacheField>
    <cacheField name="Años (end)" numFmtId="0" databaseField="0">
      <fieldGroup base="0">
        <rangePr groupBy="years" startDate="2017-09-30T00:00:00" endDate="2025-09-28T00:00:00"/>
        <groupItems count="11">
          <s v="&lt;9/30/2017"/>
          <s v="2017"/>
          <s v="2018"/>
          <s v="2019"/>
          <s v="2020"/>
          <s v="2021"/>
          <s v="2022"/>
          <s v="2023"/>
          <s v="2024"/>
          <s v="2025"/>
          <s v="&gt;9/28/2025"/>
        </groupItems>
      </fieldGroup>
    </cacheField>
    <cacheField name="%" numFmtId="0" formula="InP/Revenue" databaseField="0"/>
    <cacheField name="Campo1" numFmtId="0" formula="InP/(Revenue/1000000)" databaseField="0"/>
  </cacheFields>
  <extLst>
    <ext xmlns:x14="http://schemas.microsoft.com/office/spreadsheetml/2009/9/main" uri="{725AE2AE-9491-48be-B2B4-4EB974FC3084}">
      <x14:pivotCacheDefinition pivotCacheId="13909466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20960000000"/>
    <n v="195201000000"/>
    <n v="133050000000"/>
    <n v="34550000000"/>
    <n v="27601000000"/>
    <n v="20719000000"/>
    <n v="112010000000"/>
    <n v="359241000000"/>
    <n v="147957000000"/>
    <n v="285508000000"/>
    <n v="165631000000"/>
    <n v="73733000000"/>
    <n v="35934000000"/>
    <n v="18763000000"/>
    <n v="12350000000"/>
    <n v="78328000000"/>
    <n v="49834000000"/>
    <n v="416161000000"/>
    <n v="90678000000"/>
    <n v="0.46905164107160452"/>
    <n v="0.31970799762591878"/>
    <n v="0.26915064121818238"/>
    <n v="6.425511782832749E-2"/>
    <n v="5.0429755837833712E-2"/>
    <n v="0.31179625933565491"/>
    <n v="1.5191298333175109"/>
    <n v="0.2524155093655791"/>
    <n v="0.89329292221866674"/>
    <x v="0"/>
    <n v="0.79475338282657049"/>
    <n v="307003"/>
    <n v="109158"/>
    <n v="0.73770247572453929"/>
    <n v="0.26229752427546071"/>
    <n v="0.2524155093655791"/>
  </r>
  <r>
    <x v="1"/>
    <n v="210352000000"/>
    <n v="180683000000"/>
    <n v="123216000000"/>
    <n v="31370000000"/>
    <n v="26097000000"/>
    <n v="29749000000"/>
    <n v="93736000000"/>
    <n v="364980000000"/>
    <n v="152987000000"/>
    <n v="308030000000"/>
    <n v="176392000000"/>
    <n v="56950000000"/>
    <n v="29943000000"/>
    <n v="35228000000"/>
    <n v="10912000000"/>
    <n v="85750000000"/>
    <n v="45680000000"/>
    <n v="391035000000"/>
    <n v="96662000000"/>
    <n v="0.46206349815233932"/>
    <n v="0.31510222870075572"/>
    <n v="0.23971255769943869"/>
    <n v="2.021994077514111E-2"/>
    <n v="-1.7675600199872021E-2"/>
    <n v="0.25682503150857577"/>
    <n v="1.6459350307287099"/>
    <n v="0.2648419091457066"/>
    <n v="0.86731257653408322"/>
    <x v="1"/>
    <n v="0.84396405282481235"/>
    <n v="294866"/>
    <n v="96169"/>
    <n v="0.75406549285869551"/>
    <n v="0.24593450714130449"/>
    <n v="0.2648419091457066"/>
  </r>
  <r>
    <x v="2"/>
    <n v="214137000000"/>
    <n v="169148000000"/>
    <n v="114301000000"/>
    <n v="29915000000"/>
    <n v="24932000000"/>
    <n v="16741000000"/>
    <n v="96995000000"/>
    <n v="352583000000"/>
    <n v="143566000000"/>
    <n v="290437000000"/>
    <n v="145308000000"/>
    <n v="62146000000"/>
    <n v="29965000000"/>
    <n v="31590000000"/>
    <n v="9822000000"/>
    <n v="95281000000"/>
    <n v="43715000000"/>
    <n v="383285000000"/>
    <n v="105103000000"/>
    <n v="0.44131129577207562"/>
    <n v="0.29821412265024722"/>
    <n v="0.25306234264320282"/>
    <n v="-2.800460530319937E-2"/>
    <n v="-4.208977123276636E-2"/>
    <n v="0.27509834563776481"/>
    <n v="1.560760145463908"/>
    <n v="0.29809434941559859"/>
    <n v="0.98801167175929749"/>
    <x v="2"/>
    <n v="0.82374079294804348"/>
    <n v="298085"/>
    <n v="85200"/>
    <n v="0.77771110270425403"/>
    <n v="0.222288897295746"/>
    <n v="0.29809434941559859"/>
  </r>
  <r>
    <x v="3"/>
    <n v="223546000000"/>
    <n v="170782000000"/>
    <n v="119437000000"/>
    <n v="26251000000"/>
    <n v="25094000000"/>
    <n v="19300000000"/>
    <n v="99803000000"/>
    <n v="352755000000"/>
    <n v="135405000000"/>
    <n v="302083000000"/>
    <n v="153982000000"/>
    <n v="50672000000"/>
    <n v="23646000000"/>
    <n v="24658000000"/>
    <n v="11128000000"/>
    <n v="98959000000"/>
    <n v="42117000000"/>
    <n v="394328000000"/>
    <n v="110087000000"/>
    <n v="0.43309630561360091"/>
    <n v="0.30288744395528588"/>
    <n v="0.25309640705199732"/>
    <n v="7.7937876041846099E-2"/>
    <n v="4.960536385874792E-2"/>
    <n v="0.28292440929256851"/>
    <n v="1.969588727502368"/>
    <n v="0.31207778769967831"/>
    <n v="0.87935602862672257"/>
    <x v="3"/>
    <n v="0.85635355983614692"/>
    <n v="316199"/>
    <n v="78129"/>
    <n v="0.80186798807084458"/>
    <n v="0.19813201192915542"/>
    <n v="0.31207778769967826"/>
  </r>
  <r>
    <x v="4"/>
    <n v="212981000000"/>
    <n v="152836000000"/>
    <n v="108949000000"/>
    <n v="21914000000"/>
    <n v="21973000000"/>
    <n v="14527000000"/>
    <n v="94680000000"/>
    <n v="351002000000"/>
    <n v="134836000000"/>
    <n v="287912000000"/>
    <n v="125481000000"/>
    <n v="63090000000"/>
    <n v="34940000000"/>
    <n v="27699000000"/>
    <n v="9613000000"/>
    <n v="109106000000"/>
    <n v="39440000000"/>
    <n v="365817000000"/>
    <n v="118719000000"/>
    <n v="0.41779359625167778"/>
    <n v="0.29782377527561588"/>
    <n v="0.25881793355694238"/>
    <n v="0.33259384733074698"/>
    <n v="0.25608785142634721"/>
    <n v="0.26974205275183621"/>
    <n v="1.5007132667617691"/>
    <n v="0.33822884200090031"/>
    <n v="1.0745531195957949"/>
    <x v="4"/>
    <n v="0.82025743443057308"/>
    <n v="297392"/>
    <n v="68425"/>
    <n v="0.81295292454970658"/>
    <n v="0.18704707545029345"/>
    <n v="0.33822884200090025"/>
  </r>
  <r>
    <x v="5"/>
    <n v="169559000000"/>
    <n v="104956000000"/>
    <n v="66288000000"/>
    <n v="18752000000"/>
    <n v="19916000000"/>
    <n v="9680000000"/>
    <n v="57411000000"/>
    <n v="323888000000"/>
    <n v="143713000000"/>
    <n v="258549000000"/>
    <n v="105392000000"/>
    <n v="65339000000"/>
    <n v="38016000000"/>
    <n v="52927000000"/>
    <n v="8773000000"/>
    <n v="98667000000"/>
    <n v="36766000000"/>
    <n v="274515000000"/>
    <n v="107440000000"/>
    <n v="0.38233247727810871"/>
    <n v="0.2414731435440686"/>
    <n v="0.20913611278072239"/>
    <n v="5.5120803769784787E-2"/>
    <n v="4.8070860787973853E-2"/>
    <n v="0.1772557180259843"/>
    <n v="0.87866358530127486"/>
    <n v="0.33171960677765161"/>
    <n v="1.3636044481554579"/>
    <x v="5"/>
    <n v="0.79826668477992391"/>
    <n v="220747"/>
    <n v="53768"/>
    <n v="0.80413456459574162"/>
    <n v="0.19586543540425841"/>
    <n v="0.33171960677765155"/>
  </r>
  <r>
    <x v="6"/>
    <n v="161782000000"/>
    <n v="98392000000"/>
    <n v="63930000000"/>
    <n v="16217000000"/>
    <n v="18245000000"/>
    <n v="10481000000"/>
    <n v="55256000000"/>
    <n v="338516000000"/>
    <n v="162819000000"/>
    <n v="248028000000"/>
    <n v="105718000000"/>
    <n v="90488000000"/>
    <n v="48844000000"/>
    <n v="51713000000"/>
    <n v="10260000000"/>
    <n v="91807000000"/>
    <n v="37378000000"/>
    <n v="260174000000"/>
    <n v="102067000000"/>
    <n v="0.37817768109034722"/>
    <n v="0.24572017188496931"/>
    <n v="0.21238094505984459"/>
    <n v="-2.04107758052674E-2"/>
    <n v="-1.205452013972008E-2"/>
    <n v="0.1632300984296163"/>
    <n v="0.61064450534877557"/>
    <n v="0.30151307471434141"/>
    <n v="1.540125617208044"/>
    <x v="6"/>
    <n v="0.73269210317976108"/>
    <n v="213883"/>
    <n v="46291"/>
    <n v="0.82207676401177676"/>
    <n v="0.17792323598822327"/>
    <n v="0.30151307471434141"/>
  </r>
  <r>
    <x v="7"/>
    <n v="163756000000"/>
    <n v="101839000000"/>
    <n v="70898000000"/>
    <n v="14236000000"/>
    <n v="16705000000"/>
    <n v="13372000000"/>
    <n v="59531000000"/>
    <n v="365725000000"/>
    <n v="131339000000"/>
    <n v="258578000000"/>
    <n v="115929000000"/>
    <n v="107147000000"/>
    <n v="25913000000"/>
    <n v="40388000000"/>
    <n v="8784000000"/>
    <n v="93735000000"/>
    <n v="41304000000"/>
    <n v="265595000000"/>
    <n v="102519000000"/>
    <n v="0.38343718820007899"/>
    <n v="0.26694026619477018"/>
    <n v="0.2241420207458725"/>
    <n v="0.15861957650261299"/>
    <n v="0.16099483863649261"/>
    <n v="0.16277530931710979"/>
    <n v="0.5556011834209077"/>
    <n v="0.28031717820766971"/>
    <n v="1.1329261875803289"/>
    <x v="7"/>
    <n v="0.70702850502426684"/>
    <n v="225847"/>
    <n v="39748"/>
    <n v="0.85034356821476309"/>
    <n v="0.14965643178523691"/>
    <n v="0.28031717820766971"/>
  </r>
  <r>
    <x v="8"/>
    <n v="141048000000"/>
    <n v="88186000000"/>
    <n v="61344000000"/>
    <n v="11581000000"/>
    <n v="15261000000"/>
    <n v="15738000000"/>
    <n v="48351000000"/>
    <n v="375319000000"/>
    <n v="128645000000"/>
    <n v="241272000000"/>
    <n v="100814000000"/>
    <n v="134047000000"/>
    <n v="20289000000"/>
    <m/>
    <n v="6496000000"/>
    <n v="97207000000"/>
    <n v="33783000000"/>
    <n v="229234000000"/>
    <n v="103703000000"/>
    <n v="0.38469860491899099"/>
    <n v="0.26760428208729942"/>
    <n v="0.21092420845075341"/>
    <n v="6.304518199398057E-2"/>
    <n v="7.3620752648885679E-2"/>
    <n v="0.1288264116658096"/>
    <n v="0.36070184338329092"/>
    <n v="0.27630628878367469"/>
    <n v="1.2760628484139109"/>
    <x v="8"/>
    <n v="0.64284515305646661"/>
    <n v="196534"/>
    <n v="32700"/>
    <n v="0.85735100377779916"/>
    <n v="0.1426489962222009"/>
    <n v="0.276306288783674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55E9C-5F6A-4C3C-9684-527D28E3F6F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4:C64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numFmtId="2" showAll="0"/>
    <pivotField numFmtId="2"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Deuda/Activos" fld="27" baseField="0" baseItem="0"/>
    <dataField name="Pasivos/Activos" fld="30" baseField="0" baseItem="0"/>
  </dataFields>
  <chartFormats count="8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6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29" count="1" selected="0">
            <x v="7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9" count="1" selected="0">
            <x v="6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2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4BF60-5243-44A1-9817-7DA631A0FCC1}" name="TablaDinámica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D20:F29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11">
        <item x="1"/>
        <item x="2"/>
        <item x="3"/>
        <item x="4"/>
        <item x="5"/>
        <item x="6"/>
        <item x="7"/>
        <item x="8"/>
        <item x="9"/>
        <item x="10"/>
        <item x="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Ingresos" fld="23" baseField="29" baseItem="1"/>
    <dataField name="Costos" fld="24" baseField="29" baseItem="1"/>
  </dataFields>
  <formats count="1">
    <format dxfId="6">
      <pivotArea collapsedLevelsAreSubtotals="1" fieldPosition="0">
        <references count="1">
          <reference field="29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1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29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2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1"/>
          </reference>
          <reference field="29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1"/>
          </reference>
          <reference field="29" count="1" selected="0">
            <x v="5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1"/>
          </reference>
          <reference field="29" count="1" selected="0">
            <x v="2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1"/>
          </reference>
          <reference field="2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2D14-0D4C-48E4-9728-601CD068D65C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D3:E12" firstHeaderRow="1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axis="axisRow" showAll="0" sortType="descending" defaultSubtotal="0">
      <items count="11">
        <item x="9"/>
        <item x="8"/>
        <item x="7"/>
        <item x="6"/>
        <item x="5"/>
        <item x="4"/>
        <item x="3"/>
        <item x="2"/>
        <item x="1"/>
        <item x="10"/>
        <item x="0"/>
      </items>
    </pivotField>
    <pivotField dragToRow="0" dragToCol="0" dragToPage="0" showAll="0" defaultSubtotal="0"/>
    <pivotField dragToRow="0" dragToCol="0" dragToPage="0" showAll="0" defaultSubtotal="0"/>
  </pivotFields>
  <rowFields count="1">
    <field x="3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a de RevenueGrowth" fld="23" baseField="0" baseItem="0"/>
  </dataFields>
  <formats count="1">
    <format dxfId="7">
      <pivotArea collapsedLevelsAreSubtotals="1" fieldPosition="0">
        <references count="1">
          <reference field="38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9FD7A-CC81-4C1F-9B4F-E01BDD317C42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K3:N12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11">
        <item x="1"/>
        <item x="2"/>
        <item x="3"/>
        <item x="4"/>
        <item x="5"/>
        <item x="6"/>
        <item x="7"/>
        <item x="8"/>
        <item x="9"/>
        <item x="10"/>
        <item x="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GrossMargin" fld="20" baseField="0" baseItem="0"/>
    <dataField name="Suma de NetMargin" fld="22" baseField="0" baseItem="0"/>
    <dataField name="Suma de OperatingMargin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B8C8F-786F-4F56-80C1-9852D86C2D7C}" name="TablaDinámica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33:C42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numFmtId="2" showAll="0"/>
    <pivotField showAll="0" defaultSubtotal="0"/>
    <pivotField showAll="0" defaultSubtota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Productos" fld="33" baseField="29" baseItem="1"/>
    <dataField name="Servicios" fld="34" baseField="29" baseItem="1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21CCB-2B2D-4255-8EA5-A480F942205B}" name="TablaDinámica2" cacheId="0" applyNumberFormats="0" applyBorderFormats="0" applyFontFormats="0" applyPatternFormats="0" applyAlignmentFormats="0" applyWidthHeightFormats="1" dataCaption="Valores" updatedVersion="8" minRefreshableVersion="5" useAutoFormatting="1" rowGrandTotals="0" colGrandTotals="0" itemPrintTitles="1" createdVersion="8" indent="0" outline="1" outlineData="1" multipleFieldFilters="0">
  <location ref="A3:B12" firstHeaderRow="1" firstDataRow="1" firstDataCol="1" rowPageCount="1" colPageCount="1"/>
  <pivotFields count="41">
    <pivotField axis="axisPage"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12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pageFields count="1">
    <pageField fld="0" hier="-1"/>
  </pageFields>
  <dataFields count="1">
    <dataField name="Suma de Revenue" fld="18" baseField="33" baseItem="1"/>
  </dataFields>
  <pivotTableStyleInfo name="PivotStyleLight16" showRowHeaders="1" showColHeaders="1" showRowStripes="0" showColStripes="0" showLastColumn="1"/>
  <filters count="1">
    <filter fld="0" type="dateBetween" evalOrder="-1" id="24" name="end">
      <autoFilter ref="A1">
        <filterColumn colId="0">
          <customFilters and="1">
            <customFilter operator="greaterThanOrEqual" val="4383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8932E-8DDE-409B-9500-F984253A00CF}" name="TablaDiná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G4:I13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h="1" m="1" x="9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11">
        <item x="1"/>
        <item x="2"/>
        <item x="3"/>
        <item x="4"/>
        <item x="5"/>
        <item x="6"/>
        <item x="7"/>
        <item x="8"/>
        <item x="9"/>
        <item x="10"/>
        <item x="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Suma de CostOfGoodsAndServicesSold" fld="1" baseField="0" baseItem="0" numFmtId="165"/>
    <dataField name="Suma de CostGrowth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523CE-A039-4F7C-8572-C92AB6838635}" name="TablaDinámica1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D54:F63" firstHeaderRow="0" firstDataRow="1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2" showAll="0"/>
    <pivotField numFmtId="2"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  ROE" fld="26" baseField="0" baseItem="0"/>
    <dataField name=" ROA" fld="25" baseField="0" baseItem="0"/>
  </dataFields>
  <chartFormats count="9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1"/>
          </reference>
          <reference field="29" count="1" selected="0">
            <x v="8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14A15-C3D0-45C2-B367-CDA11D84E8C8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I40:S42" firstHeaderRow="1" firstDataRow="2" firstDataCol="1"/>
  <pivotFields count="41">
    <pivotField numFmtId="164" showAll="0">
      <items count="11">
        <item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h="1" m="1"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2" showAll="0"/>
    <pivotField numFmtId="2" showAll="0"/>
    <pivotField dataField="1" showAll="0"/>
    <pivotField showAll="0"/>
    <pivotField numFmtId="2" showAll="0"/>
    <pivotField showAll="0" defaultSubtotal="0"/>
    <pivotField showAll="0" defaultSubtota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29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LnP%" fld="33" baseField="0" baseItem="0"/>
  </dataFields>
  <chartFormats count="18">
    <chartFormat chart="0" format="18" series="1">
      <pivotArea type="data" outline="0" fieldPosition="0">
        <references count="1">
          <reference field="29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29" count="1" selected="0">
            <x v="2"/>
          </reference>
        </references>
      </pivotArea>
    </chartFormat>
    <chartFormat chart="0" format="20" series="1">
      <pivotArea type="data" outline="0" fieldPosition="0">
        <references count="1">
          <reference field="29" count="1" selected="0">
            <x v="3"/>
          </reference>
        </references>
      </pivotArea>
    </chartFormat>
    <chartFormat chart="0" format="21" series="1">
      <pivotArea type="data" outline="0" fieldPosition="0">
        <references count="1">
          <reference field="29" count="1" selected="0">
            <x v="4"/>
          </reference>
        </references>
      </pivotArea>
    </chartFormat>
    <chartFormat chart="0" format="22" series="1">
      <pivotArea type="data" outline="0" fieldPosition="0">
        <references count="1">
          <reference field="29" count="1" selected="0">
            <x v="5"/>
          </reference>
        </references>
      </pivotArea>
    </chartFormat>
    <chartFormat chart="0" format="23" series="1">
      <pivotArea type="data" outline="0" fieldPosition="0">
        <references count="1">
          <reference field="29" count="1" selected="0">
            <x v="6"/>
          </reference>
        </references>
      </pivotArea>
    </chartFormat>
    <chartFormat chart="0" format="24" series="1">
      <pivotArea type="data" outline="0" fieldPosition="0">
        <references count="1">
          <reference field="29" count="1" selected="0">
            <x v="7"/>
          </reference>
        </references>
      </pivotArea>
    </chartFormat>
    <chartFormat chart="0" format="25" series="1">
      <pivotArea type="data" outline="0" fieldPosition="0">
        <references count="1">
          <reference field="29" count="1" selected="0">
            <x v="8"/>
          </reference>
        </references>
      </pivotArea>
    </chartFormat>
    <chartFormat chart="0" format="26" series="1">
      <pivotArea type="data" outline="0" fieldPosition="0">
        <references count="1">
          <reference field="29" count="1" selected="0">
            <x v="9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6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157AFC49-CC3D-46C5-A44E-FDD329551D1F}" sourceName="Year">
  <pivotTables>
    <pivotTable tabId="2" name="TablaDinámica2"/>
    <pivotTable tabId="2" name="TablaDinámica3"/>
    <pivotTable tabId="2" name="TablaDinámica4"/>
    <pivotTable tabId="2" name="TablaDinámica5"/>
    <pivotTable tabId="2" name="TablaDinámica7"/>
    <pivotTable tabId="2" name="TablaDinámica8"/>
    <pivotTable tabId="2" name="TablaDinámica1"/>
    <pivotTable tabId="2" name="TablaDinámica18"/>
    <pivotTable tabId="2" name="TablaDinámica9"/>
  </pivotTables>
  <data>
    <tabular pivotCacheId="1390946615" sortOrder="descending">
      <items count="10">
        <i x="0" s="1"/>
        <i x="1" s="1"/>
        <i x="2" s="1"/>
        <i x="3" s="1"/>
        <i x="4" s="1"/>
        <i x="5" s="1"/>
        <i x="6" s="1"/>
        <i x="7" s="1"/>
        <i x="8" s="1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D4AC0E2-F34A-4652-AA34-EB262448064B}" cache="SegmentaciónDeDatos_Year" caption="Year" startItem="5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80C860FB-79A4-4372-9E59-74C868C75215}" cache="SegmentaciónDeDatos_Year" caption="Year" columnCount="2" style="Estilo de segmentación de datos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DC091-D36F-4D2E-B381-2835E24F4A53}" name="Data" displayName="Data" ref="A1:AJ10" totalsRowShown="0" headerRowDxfId="33" headerRowBorderDxfId="32" tableBorderDxfId="31">
  <autoFilter ref="A1:AJ10" xr:uid="{F82DC091-D36F-4D2E-B381-2835E24F4A53}"/>
  <sortState xmlns:xlrd2="http://schemas.microsoft.com/office/spreadsheetml/2017/richdata2" ref="A2:AG10">
    <sortCondition descending="1" ref="A1:A10"/>
  </sortState>
  <tableColumns count="36">
    <tableColumn id="1" xr3:uid="{BAEC2502-933D-43F0-ACF3-1F323DE81F89}" name="end" dataDxfId="30"/>
    <tableColumn id="2" xr3:uid="{6A5613CB-D125-4849-8CA2-0B864B685D95}" name="CostOfGoodsAndServicesSold" dataDxfId="29"/>
    <tableColumn id="3" xr3:uid="{00B7D498-B999-462D-BBA9-D4D12862D9CC}" name="GrossProfit" dataDxfId="28"/>
    <tableColumn id="4" xr3:uid="{451B0DB2-0DB4-46F5-A834-D93B1D4AE898}" name="OperatingIncomeLoss" dataDxfId="27"/>
    <tableColumn id="5" xr3:uid="{61B832CC-7879-48F0-98BA-C67A4060A71E}" name="ResearchAndDevelopmentExpense" dataDxfId="26"/>
    <tableColumn id="6" xr3:uid="{4102A5A9-801F-444A-B71E-8F9566EB4A64}" name="SellingGeneralAndAdministrativeExpense" dataDxfId="25"/>
    <tableColumn id="7" xr3:uid="{79D4330B-7CA1-4289-9F4E-4B48BAB9C1B6}" name="IncomeTaxExpenseBenefit" dataDxfId="24"/>
    <tableColumn id="8" xr3:uid="{2FE2DD7D-AA2F-4DD6-8430-2D01103B319A}" name="NetIncomeLoss" dataDxfId="23"/>
    <tableColumn id="9" xr3:uid="{D748B625-E74F-461A-B638-A0B4FB75CC2B}" name="Assets" dataDxfId="22"/>
    <tableColumn id="10" xr3:uid="{69A0EE68-27CB-42BB-B86A-6EF84A5692C4}" name="AssetsCurrent" dataDxfId="21"/>
    <tableColumn id="11" xr3:uid="{AB3EE2D5-6162-453C-95D2-4B9F1AEFB7E6}" name="Liabilities" dataDxfId="20"/>
    <tableColumn id="12" xr3:uid="{9778C59C-3D8B-4820-AADC-8A9D2D4DCEE7}" name="LiabilitiesCurrent" dataDxfId="19"/>
    <tableColumn id="13" xr3:uid="{EA6CF7A2-0100-498D-A55A-09FF840C4251}" name="StockholdersEquity" dataDxfId="18"/>
    <tableColumn id="14" xr3:uid="{4A37DA34-9747-45FF-8844-715BC8FDCD86}" name="CashAndCashEquivalentsAtCarryingValue" dataDxfId="17"/>
    <tableColumn id="15" xr3:uid="{85694220-A075-4FB3-8EF7-FBF86516D021}" name="MarketableSecuritiesCurrent" dataDxfId="16"/>
    <tableColumn id="16" xr3:uid="{9D8BEE99-2938-46C6-963B-EDC3F3BC526E}" name="LongTermDebtCurrent" dataDxfId="15"/>
    <tableColumn id="17" xr3:uid="{EAF097F2-26A4-4E58-BFFA-E76A71942B96}" name="LongTermDebtNoncurrent" dataDxfId="14"/>
    <tableColumn id="18" xr3:uid="{98744A18-FFF6-4B7B-957D-C3197481FA0D}" name="PropertyPlantAndEquipmentNet" dataDxfId="13"/>
    <tableColumn id="19" xr3:uid="{EA95EC77-6E03-43B4-8420-E78CE2EEA3AC}" name="Revenue"/>
    <tableColumn id="20" xr3:uid="{782DB60E-5399-4518-A58C-79290B752F4F}" name="LongTermDebt"/>
    <tableColumn id="21" xr3:uid="{1276AF01-1D91-4168-969C-99D50FB153FC}" name="GrossMargin"/>
    <tableColumn id="22" xr3:uid="{CAE42B40-A14D-4336-8F59-449FAFFF7EE0}" name="OperatingMargin"/>
    <tableColumn id="23" xr3:uid="{96E95AEB-92C4-40CE-9415-47CDFA739964}" name="NetMargin"/>
    <tableColumn id="24" xr3:uid="{F0D63405-0989-4BF3-BFAA-BE86B5B9F8BB}" name="RevenueGrowth"/>
    <tableColumn id="25" xr3:uid="{FFBFF2B9-4476-4B5E-996B-E2871557EB8A}" name="CostGrowth"/>
    <tableColumn id="26" xr3:uid="{CFF9E3D8-277B-4E83-A701-C0D68CC6F090}" name="ROA"/>
    <tableColumn id="27" xr3:uid="{354298CC-C1B8-47BB-8988-68C43DC7F843}" name="ROE"/>
    <tableColumn id="28" xr3:uid="{D62F0C94-7D1E-47B2-9133-D2AC6D9ACB0F}" name="DebtToAssets"/>
    <tableColumn id="29" xr3:uid="{A21EED40-D336-4E60-A49B-227749BF412C}" name="CurrentRatio"/>
    <tableColumn id="30" xr3:uid="{A8F93F28-8377-4904-AE8E-F9C7F30977BA}" name="Year"/>
    <tableColumn id="31" xr3:uid="{CFDA588F-A81C-4F78-8DC8-94BFC0F2CF81}" name="%liabilities"/>
    <tableColumn id="32" xr3:uid="{F62C8D4B-09BB-41DA-BA0D-99C78473E93A}" name="InP" dataDxfId="12"/>
    <tableColumn id="33" xr3:uid="{D540C1D5-1172-424D-A348-6182499ED85C}" name="InS" dataDxfId="11"/>
    <tableColumn id="34" xr3:uid="{CB516561-1741-41F2-8C3F-0D2E93F69941}" name="LnP%" dataDxfId="10">
      <calculatedColumnFormula>Data[[#This Row],[InP]]/(Data[[#This Row],[Revenue]]/1000000)</calculatedColumnFormula>
    </tableColumn>
    <tableColumn id="35" xr3:uid="{DC9F8316-16C9-4146-95EA-0E4C7F3D39EC}" name="LnS%" dataDxfId="9">
      <calculatedColumnFormula>Data[[#This Row],[InS]]/(Data[[#This Row],[Revenue]]/1000000)</calculatedColumnFormula>
    </tableColumn>
    <tableColumn id="36" xr3:uid="{0A3993FA-A33E-4F83-A1E9-41D0CB90819E}" name="Columna1" dataDxfId="8" dataCellStyle="Porcentaje">
      <calculatedColumnFormula>Data[[#This Row],[LongTermDebt]]/Data[[#This Row],[Assets]]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workbookViewId="0">
      <selection activeCell="C4" sqref="C4"/>
    </sheetView>
  </sheetViews>
  <sheetFormatPr baseColWidth="10" defaultColWidth="8.88671875" defaultRowHeight="14.4" x14ac:dyDescent="0.3"/>
  <cols>
    <col min="1" max="1" width="25.44140625" customWidth="1"/>
    <col min="2" max="2" width="27.77734375" customWidth="1"/>
    <col min="3" max="3" width="15.33203125" bestFit="1" customWidth="1"/>
    <col min="4" max="4" width="21.109375" customWidth="1"/>
    <col min="5" max="5" width="32.109375" customWidth="1"/>
    <col min="6" max="6" width="37.33203125" customWidth="1"/>
    <col min="7" max="7" width="25" customWidth="1"/>
    <col min="8" max="8" width="15.77734375" customWidth="1"/>
    <col min="9" max="9" width="15.33203125" bestFit="1" customWidth="1"/>
    <col min="10" max="10" width="14.44140625" customWidth="1"/>
    <col min="11" max="11" width="10.5546875" customWidth="1"/>
    <col min="12" max="12" width="16.88671875" customWidth="1"/>
    <col min="13" max="13" width="19.109375" customWidth="1"/>
    <col min="14" max="14" width="37.6640625" customWidth="1"/>
    <col min="15" max="15" width="26.88671875" customWidth="1"/>
    <col min="16" max="16" width="21.6640625" customWidth="1"/>
    <col min="17" max="17" width="25" customWidth="1"/>
    <col min="18" max="18" width="30.21875" customWidth="1"/>
    <col min="19" max="19" width="10.21875" customWidth="1"/>
    <col min="20" max="20" width="15.33203125" customWidth="1"/>
    <col min="21" max="21" width="13.44140625" customWidth="1"/>
    <col min="22" max="22" width="17.21875" customWidth="1"/>
    <col min="23" max="23" width="11.88671875" customWidth="1"/>
    <col min="24" max="24" width="16.44140625" customWidth="1"/>
    <col min="25" max="25" width="12.77734375" customWidth="1"/>
    <col min="28" max="28" width="14.21875" customWidth="1"/>
    <col min="29" max="29" width="13.5546875" customWidth="1"/>
    <col min="31" max="31" width="11.5546875" customWidth="1"/>
    <col min="32" max="33" width="9.5546875" bestFit="1" customWidth="1"/>
  </cols>
  <sheetData>
    <row r="1" spans="1: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69</v>
      </c>
    </row>
    <row r="2" spans="1:36" x14ac:dyDescent="0.3">
      <c r="A2" s="1">
        <v>45927</v>
      </c>
      <c r="B2" s="4">
        <v>220960000000</v>
      </c>
      <c r="C2" s="4">
        <v>195201000000</v>
      </c>
      <c r="D2" s="4">
        <v>133050000000</v>
      </c>
      <c r="E2" s="4">
        <v>34550000000</v>
      </c>
      <c r="F2" s="4">
        <v>27601000000</v>
      </c>
      <c r="G2" s="4">
        <v>20719000000</v>
      </c>
      <c r="H2" s="4">
        <v>112010000000</v>
      </c>
      <c r="I2" s="4">
        <v>359241000000</v>
      </c>
      <c r="J2" s="4">
        <v>147957000000</v>
      </c>
      <c r="K2" s="4">
        <v>285508000000</v>
      </c>
      <c r="L2" s="4">
        <v>165631000000</v>
      </c>
      <c r="M2" s="4">
        <v>73733000000</v>
      </c>
      <c r="N2" s="4">
        <v>35934000000</v>
      </c>
      <c r="O2" s="4">
        <v>18763000000</v>
      </c>
      <c r="P2" s="4">
        <v>12350000000</v>
      </c>
      <c r="Q2" s="4">
        <v>78328000000</v>
      </c>
      <c r="R2" s="4">
        <v>49834000000</v>
      </c>
      <c r="S2">
        <v>416161000000</v>
      </c>
      <c r="T2">
        <v>90678000000</v>
      </c>
      <c r="U2">
        <v>0.46905164107160452</v>
      </c>
      <c r="V2">
        <v>0.31970799762591878</v>
      </c>
      <c r="W2">
        <v>0.26915064121818238</v>
      </c>
      <c r="X2">
        <v>6.425511782832749E-2</v>
      </c>
      <c r="Y2">
        <v>5.0429755837833712E-2</v>
      </c>
      <c r="Z2">
        <v>0.31179625933565491</v>
      </c>
      <c r="AA2">
        <v>1.5191298333175109</v>
      </c>
      <c r="AB2">
        <v>0.2524155093655791</v>
      </c>
      <c r="AC2">
        <v>0.89329292221866674</v>
      </c>
      <c r="AD2">
        <v>2025</v>
      </c>
      <c r="AE2">
        <v>0.79475338282657049</v>
      </c>
      <c r="AF2" s="16">
        <v>307003</v>
      </c>
      <c r="AG2" s="16">
        <v>109158</v>
      </c>
      <c r="AH2">
        <f>Data[[#This Row],[InP]]/(Data[[#This Row],[Revenue]]/1000000)</f>
        <v>0.73770247572453929</v>
      </c>
      <c r="AI2">
        <f>Data[[#This Row],[InS]]/(Data[[#This Row],[Revenue]]/1000000)</f>
        <v>0.26229752427546071</v>
      </c>
      <c r="AJ2" s="19">
        <f>Data[[#This Row],[LongTermDebt]]/Data[[#This Row],[Assets]]</f>
        <v>0.2524155093655791</v>
      </c>
    </row>
    <row r="3" spans="1:36" x14ac:dyDescent="0.3">
      <c r="A3" s="1">
        <v>45563</v>
      </c>
      <c r="B3" s="4">
        <v>210352000000</v>
      </c>
      <c r="C3" s="4">
        <v>180683000000</v>
      </c>
      <c r="D3" s="4">
        <v>123216000000</v>
      </c>
      <c r="E3" s="4">
        <v>31370000000</v>
      </c>
      <c r="F3" s="4">
        <v>26097000000</v>
      </c>
      <c r="G3" s="4">
        <v>29749000000</v>
      </c>
      <c r="H3" s="4">
        <v>93736000000</v>
      </c>
      <c r="I3" s="4">
        <v>364980000000</v>
      </c>
      <c r="J3" s="4">
        <v>152987000000</v>
      </c>
      <c r="K3" s="4">
        <v>308030000000</v>
      </c>
      <c r="L3" s="4">
        <v>176392000000</v>
      </c>
      <c r="M3" s="4">
        <v>56950000000</v>
      </c>
      <c r="N3" s="4">
        <v>29943000000</v>
      </c>
      <c r="O3" s="4">
        <v>35228000000</v>
      </c>
      <c r="P3" s="4">
        <v>10912000000</v>
      </c>
      <c r="Q3" s="4">
        <v>85750000000</v>
      </c>
      <c r="R3" s="4">
        <v>45680000000</v>
      </c>
      <c r="S3">
        <v>391035000000</v>
      </c>
      <c r="T3">
        <v>96662000000</v>
      </c>
      <c r="U3">
        <v>0.46206349815233932</v>
      </c>
      <c r="V3">
        <v>0.31510222870075572</v>
      </c>
      <c r="W3">
        <v>0.23971255769943869</v>
      </c>
      <c r="X3">
        <v>2.021994077514111E-2</v>
      </c>
      <c r="Y3">
        <v>-1.7675600199872021E-2</v>
      </c>
      <c r="Z3">
        <v>0.25682503150857577</v>
      </c>
      <c r="AA3">
        <v>1.6459350307287099</v>
      </c>
      <c r="AB3">
        <v>0.2648419091457066</v>
      </c>
      <c r="AC3">
        <v>0.86731257653408322</v>
      </c>
      <c r="AD3">
        <v>2024</v>
      </c>
      <c r="AE3">
        <v>0.84396405282481235</v>
      </c>
      <c r="AF3" s="16">
        <v>294866</v>
      </c>
      <c r="AG3" s="16">
        <v>96169</v>
      </c>
      <c r="AH3">
        <f>Data[[#This Row],[InP]]/(Data[[#This Row],[Revenue]]/1000000)</f>
        <v>0.75406549285869551</v>
      </c>
      <c r="AI3">
        <f>Data[[#This Row],[InS]]/(Data[[#This Row],[Revenue]]/1000000)</f>
        <v>0.24593450714130449</v>
      </c>
      <c r="AJ3" s="19">
        <f>Data[[#This Row],[LongTermDebt]]/Data[[#This Row],[Assets]]</f>
        <v>0.2648419091457066</v>
      </c>
    </row>
    <row r="4" spans="1:36" x14ac:dyDescent="0.3">
      <c r="A4" s="1">
        <v>45199</v>
      </c>
      <c r="B4" s="4">
        <v>214137000000</v>
      </c>
      <c r="C4" s="4">
        <v>169148000000</v>
      </c>
      <c r="D4" s="4">
        <v>114301000000</v>
      </c>
      <c r="E4" s="4">
        <v>29915000000</v>
      </c>
      <c r="F4" s="4">
        <v>24932000000</v>
      </c>
      <c r="G4" s="4">
        <v>16741000000</v>
      </c>
      <c r="H4" s="4">
        <v>96995000000</v>
      </c>
      <c r="I4" s="4">
        <v>352583000000</v>
      </c>
      <c r="J4" s="4">
        <v>143566000000</v>
      </c>
      <c r="K4" s="4">
        <v>290437000000</v>
      </c>
      <c r="L4" s="4">
        <v>145308000000</v>
      </c>
      <c r="M4" s="4">
        <v>62146000000</v>
      </c>
      <c r="N4" s="4">
        <v>29965000000</v>
      </c>
      <c r="O4" s="4">
        <v>31590000000</v>
      </c>
      <c r="P4" s="4">
        <v>9822000000</v>
      </c>
      <c r="Q4" s="4">
        <v>95281000000</v>
      </c>
      <c r="R4" s="4">
        <v>43715000000</v>
      </c>
      <c r="S4">
        <v>383285000000</v>
      </c>
      <c r="T4">
        <v>105103000000</v>
      </c>
      <c r="U4">
        <v>0.44131129577207562</v>
      </c>
      <c r="V4">
        <v>0.29821412265024722</v>
      </c>
      <c r="W4">
        <v>0.25306234264320282</v>
      </c>
      <c r="X4">
        <v>-2.800460530319937E-2</v>
      </c>
      <c r="Y4">
        <v>-4.208977123276636E-2</v>
      </c>
      <c r="Z4">
        <v>0.27509834563776481</v>
      </c>
      <c r="AA4">
        <v>1.560760145463908</v>
      </c>
      <c r="AB4">
        <v>0.29809434941559859</v>
      </c>
      <c r="AC4">
        <v>0.98801167175929749</v>
      </c>
      <c r="AD4">
        <v>2023</v>
      </c>
      <c r="AE4">
        <v>0.82374079294804348</v>
      </c>
      <c r="AF4" s="16">
        <v>298085</v>
      </c>
      <c r="AG4" s="16">
        <v>85200</v>
      </c>
      <c r="AH4">
        <f>Data[[#This Row],[InP]]/(Data[[#This Row],[Revenue]]/1000000)</f>
        <v>0.77771110270425403</v>
      </c>
      <c r="AI4">
        <f>Data[[#This Row],[InS]]/(Data[[#This Row],[Revenue]]/1000000)</f>
        <v>0.222288897295746</v>
      </c>
      <c r="AJ4" s="19">
        <f>Data[[#This Row],[LongTermDebt]]/Data[[#This Row],[Assets]]</f>
        <v>0.29809434941559859</v>
      </c>
    </row>
    <row r="5" spans="1:36" x14ac:dyDescent="0.3">
      <c r="A5" s="1">
        <v>44828</v>
      </c>
      <c r="B5" s="4">
        <v>223546000000</v>
      </c>
      <c r="C5" s="4">
        <v>170782000000</v>
      </c>
      <c r="D5" s="4">
        <v>119437000000</v>
      </c>
      <c r="E5" s="4">
        <v>26251000000</v>
      </c>
      <c r="F5" s="4">
        <v>25094000000</v>
      </c>
      <c r="G5" s="4">
        <v>19300000000</v>
      </c>
      <c r="H5" s="4">
        <v>99803000000</v>
      </c>
      <c r="I5" s="4">
        <v>352755000000</v>
      </c>
      <c r="J5" s="4">
        <v>135405000000</v>
      </c>
      <c r="K5" s="4">
        <v>302083000000</v>
      </c>
      <c r="L5" s="4">
        <v>153982000000</v>
      </c>
      <c r="M5" s="4">
        <v>50672000000</v>
      </c>
      <c r="N5" s="4">
        <v>23646000000</v>
      </c>
      <c r="O5" s="4">
        <v>24658000000</v>
      </c>
      <c r="P5" s="4">
        <v>11128000000</v>
      </c>
      <c r="Q5" s="4">
        <v>98959000000</v>
      </c>
      <c r="R5" s="4">
        <v>42117000000</v>
      </c>
      <c r="S5">
        <v>394328000000</v>
      </c>
      <c r="T5">
        <v>110087000000</v>
      </c>
      <c r="U5">
        <v>0.43309630561360091</v>
      </c>
      <c r="V5">
        <v>0.30288744395528588</v>
      </c>
      <c r="W5">
        <v>0.25309640705199732</v>
      </c>
      <c r="X5">
        <v>7.7937876041846099E-2</v>
      </c>
      <c r="Y5">
        <v>4.960536385874792E-2</v>
      </c>
      <c r="Z5">
        <v>0.28292440929256851</v>
      </c>
      <c r="AA5">
        <v>1.969588727502368</v>
      </c>
      <c r="AB5">
        <v>0.31207778769967831</v>
      </c>
      <c r="AC5">
        <v>0.87935602862672257</v>
      </c>
      <c r="AD5">
        <v>2022</v>
      </c>
      <c r="AE5">
        <v>0.85635355983614692</v>
      </c>
      <c r="AF5" s="18">
        <v>316199</v>
      </c>
      <c r="AG5" s="16">
        <v>78129</v>
      </c>
      <c r="AH5">
        <f>Data[[#This Row],[InP]]/(Data[[#This Row],[Revenue]]/1000000)</f>
        <v>0.80186798807084458</v>
      </c>
      <c r="AI5">
        <f>Data[[#This Row],[InS]]/(Data[[#This Row],[Revenue]]/1000000)</f>
        <v>0.19813201192915542</v>
      </c>
      <c r="AJ5" s="19">
        <f>Data[[#This Row],[LongTermDebt]]/Data[[#This Row],[Assets]]</f>
        <v>0.31207778769967826</v>
      </c>
    </row>
    <row r="6" spans="1:36" x14ac:dyDescent="0.3">
      <c r="A6" s="1">
        <v>44464</v>
      </c>
      <c r="B6" s="4">
        <v>212981000000</v>
      </c>
      <c r="C6" s="4">
        <v>152836000000</v>
      </c>
      <c r="D6" s="4">
        <v>108949000000</v>
      </c>
      <c r="E6" s="4">
        <v>21914000000</v>
      </c>
      <c r="F6" s="4">
        <v>21973000000</v>
      </c>
      <c r="G6" s="4">
        <v>14527000000</v>
      </c>
      <c r="H6" s="4">
        <v>94680000000</v>
      </c>
      <c r="I6" s="4">
        <v>351002000000</v>
      </c>
      <c r="J6" s="4">
        <v>134836000000</v>
      </c>
      <c r="K6" s="4">
        <v>287912000000</v>
      </c>
      <c r="L6" s="4">
        <v>125481000000</v>
      </c>
      <c r="M6" s="4">
        <v>63090000000</v>
      </c>
      <c r="N6" s="4">
        <v>34940000000</v>
      </c>
      <c r="O6" s="4">
        <v>27699000000</v>
      </c>
      <c r="P6" s="4">
        <v>9613000000</v>
      </c>
      <c r="Q6" s="4">
        <v>109106000000</v>
      </c>
      <c r="R6" s="4">
        <v>39440000000</v>
      </c>
      <c r="S6">
        <v>365817000000</v>
      </c>
      <c r="T6">
        <v>118719000000</v>
      </c>
      <c r="U6">
        <v>0.41779359625167778</v>
      </c>
      <c r="V6">
        <v>0.29782377527561588</v>
      </c>
      <c r="W6">
        <v>0.25881793355694238</v>
      </c>
      <c r="X6">
        <v>0.33259384733074698</v>
      </c>
      <c r="Y6">
        <v>0.25608785142634721</v>
      </c>
      <c r="Z6">
        <v>0.26974205275183621</v>
      </c>
      <c r="AA6">
        <v>1.5007132667617691</v>
      </c>
      <c r="AB6">
        <v>0.33822884200090031</v>
      </c>
      <c r="AC6">
        <v>1.0745531195957949</v>
      </c>
      <c r="AD6">
        <v>2021</v>
      </c>
      <c r="AE6">
        <v>0.82025743443057308</v>
      </c>
      <c r="AF6" s="18">
        <v>297392</v>
      </c>
      <c r="AG6" s="18">
        <v>68425</v>
      </c>
      <c r="AH6">
        <f>Data[[#This Row],[InP]]/(Data[[#This Row],[Revenue]]/1000000)</f>
        <v>0.81295292454970658</v>
      </c>
      <c r="AI6">
        <f>Data[[#This Row],[InS]]/(Data[[#This Row],[Revenue]]/1000000)</f>
        <v>0.18704707545029345</v>
      </c>
      <c r="AJ6" s="19">
        <f>Data[[#This Row],[LongTermDebt]]/Data[[#This Row],[Assets]]</f>
        <v>0.33822884200090025</v>
      </c>
    </row>
    <row r="7" spans="1:36" x14ac:dyDescent="0.3">
      <c r="A7" s="1">
        <v>44100</v>
      </c>
      <c r="B7" s="4">
        <v>169559000000</v>
      </c>
      <c r="C7" s="4">
        <v>104956000000</v>
      </c>
      <c r="D7" s="4">
        <v>66288000000</v>
      </c>
      <c r="E7" s="4">
        <v>18752000000</v>
      </c>
      <c r="F7" s="4">
        <v>19916000000</v>
      </c>
      <c r="G7" s="4">
        <v>9680000000</v>
      </c>
      <c r="H7" s="4">
        <v>57411000000</v>
      </c>
      <c r="I7" s="4">
        <v>323888000000</v>
      </c>
      <c r="J7" s="4">
        <v>143713000000</v>
      </c>
      <c r="K7" s="4">
        <v>258549000000</v>
      </c>
      <c r="L7" s="4">
        <v>105392000000</v>
      </c>
      <c r="M7" s="4">
        <v>65339000000</v>
      </c>
      <c r="N7" s="4">
        <v>38016000000</v>
      </c>
      <c r="O7" s="4">
        <v>52927000000</v>
      </c>
      <c r="P7" s="4">
        <v>8773000000</v>
      </c>
      <c r="Q7" s="4">
        <v>98667000000</v>
      </c>
      <c r="R7" s="4">
        <v>36766000000</v>
      </c>
      <c r="S7">
        <v>274515000000</v>
      </c>
      <c r="T7">
        <v>107440000000</v>
      </c>
      <c r="U7">
        <v>0.38233247727810871</v>
      </c>
      <c r="V7">
        <v>0.2414731435440686</v>
      </c>
      <c r="W7">
        <v>0.20913611278072239</v>
      </c>
      <c r="X7">
        <v>5.5120803769784787E-2</v>
      </c>
      <c r="Y7">
        <v>4.8070860787973853E-2</v>
      </c>
      <c r="Z7">
        <v>0.1772557180259843</v>
      </c>
      <c r="AA7">
        <v>0.87866358530127486</v>
      </c>
      <c r="AB7">
        <v>0.33171960677765161</v>
      </c>
      <c r="AC7">
        <v>1.3636044481554579</v>
      </c>
      <c r="AD7">
        <v>2020</v>
      </c>
      <c r="AE7">
        <v>0.79826668477992391</v>
      </c>
      <c r="AF7" s="16">
        <v>220747</v>
      </c>
      <c r="AG7" s="16">
        <v>53768</v>
      </c>
      <c r="AH7">
        <f>Data[[#This Row],[InP]]/(Data[[#This Row],[Revenue]]/1000000)</f>
        <v>0.80413456459574162</v>
      </c>
      <c r="AI7">
        <f>Data[[#This Row],[InS]]/(Data[[#This Row],[Revenue]]/1000000)</f>
        <v>0.19586543540425841</v>
      </c>
      <c r="AJ7" s="19">
        <f>Data[[#This Row],[LongTermDebt]]/Data[[#This Row],[Assets]]</f>
        <v>0.33171960677765155</v>
      </c>
    </row>
    <row r="8" spans="1:36" x14ac:dyDescent="0.3">
      <c r="A8" s="1">
        <v>43736</v>
      </c>
      <c r="B8" s="4">
        <v>161782000000</v>
      </c>
      <c r="C8" s="4">
        <v>98392000000</v>
      </c>
      <c r="D8" s="4">
        <v>63930000000</v>
      </c>
      <c r="E8" s="4">
        <v>16217000000</v>
      </c>
      <c r="F8" s="4">
        <v>18245000000</v>
      </c>
      <c r="G8" s="4">
        <v>10481000000</v>
      </c>
      <c r="H8" s="4">
        <v>55256000000</v>
      </c>
      <c r="I8" s="4">
        <v>338516000000</v>
      </c>
      <c r="J8" s="4">
        <v>162819000000</v>
      </c>
      <c r="K8" s="4">
        <v>248028000000</v>
      </c>
      <c r="L8" s="4">
        <v>105718000000</v>
      </c>
      <c r="M8" s="4">
        <v>90488000000</v>
      </c>
      <c r="N8" s="4">
        <v>48844000000</v>
      </c>
      <c r="O8" s="4">
        <v>51713000000</v>
      </c>
      <c r="P8" s="4">
        <v>10260000000</v>
      </c>
      <c r="Q8" s="4">
        <v>91807000000</v>
      </c>
      <c r="R8" s="4">
        <v>37378000000</v>
      </c>
      <c r="S8">
        <v>260174000000</v>
      </c>
      <c r="T8">
        <v>102067000000</v>
      </c>
      <c r="U8">
        <v>0.37817768109034722</v>
      </c>
      <c r="V8">
        <v>0.24572017188496931</v>
      </c>
      <c r="W8">
        <v>0.21238094505984459</v>
      </c>
      <c r="X8">
        <v>-2.04107758052674E-2</v>
      </c>
      <c r="Y8">
        <v>-1.205452013972008E-2</v>
      </c>
      <c r="Z8">
        <v>0.1632300984296163</v>
      </c>
      <c r="AA8">
        <v>0.61064450534877557</v>
      </c>
      <c r="AB8">
        <v>0.30151307471434141</v>
      </c>
      <c r="AC8">
        <v>1.540125617208044</v>
      </c>
      <c r="AD8">
        <v>2019</v>
      </c>
      <c r="AE8">
        <v>0.73269210317976108</v>
      </c>
      <c r="AF8" s="17">
        <v>213883</v>
      </c>
      <c r="AG8" s="17">
        <v>46291</v>
      </c>
      <c r="AH8">
        <f>Data[[#This Row],[InP]]/(Data[[#This Row],[Revenue]]/1000000)</f>
        <v>0.82207676401177676</v>
      </c>
      <c r="AI8">
        <f>Data[[#This Row],[InS]]/(Data[[#This Row],[Revenue]]/1000000)</f>
        <v>0.17792323598822327</v>
      </c>
      <c r="AJ8" s="19">
        <f>Data[[#This Row],[LongTermDebt]]/Data[[#This Row],[Assets]]</f>
        <v>0.30151307471434141</v>
      </c>
    </row>
    <row r="9" spans="1:36" x14ac:dyDescent="0.3">
      <c r="A9" s="1">
        <v>43372</v>
      </c>
      <c r="B9" s="4">
        <v>163756000000</v>
      </c>
      <c r="C9" s="4">
        <v>101839000000</v>
      </c>
      <c r="D9" s="4">
        <v>70898000000</v>
      </c>
      <c r="E9" s="4">
        <v>14236000000</v>
      </c>
      <c r="F9" s="4">
        <v>16705000000</v>
      </c>
      <c r="G9" s="4">
        <v>13372000000</v>
      </c>
      <c r="H9" s="4">
        <v>59531000000</v>
      </c>
      <c r="I9" s="4">
        <v>365725000000</v>
      </c>
      <c r="J9" s="4">
        <v>131339000000</v>
      </c>
      <c r="K9" s="4">
        <v>258578000000</v>
      </c>
      <c r="L9" s="4">
        <v>115929000000</v>
      </c>
      <c r="M9" s="4">
        <v>107147000000</v>
      </c>
      <c r="N9" s="4">
        <v>25913000000</v>
      </c>
      <c r="O9" s="4">
        <v>40388000000</v>
      </c>
      <c r="P9" s="4">
        <v>8784000000</v>
      </c>
      <c r="Q9" s="4">
        <v>93735000000</v>
      </c>
      <c r="R9" s="4">
        <v>41304000000</v>
      </c>
      <c r="S9">
        <v>265595000000</v>
      </c>
      <c r="T9">
        <v>102519000000</v>
      </c>
      <c r="U9">
        <v>0.38343718820007899</v>
      </c>
      <c r="V9">
        <v>0.26694026619477018</v>
      </c>
      <c r="W9">
        <v>0.2241420207458725</v>
      </c>
      <c r="X9">
        <v>0.15861957650261299</v>
      </c>
      <c r="Y9">
        <v>0.16099483863649261</v>
      </c>
      <c r="Z9">
        <v>0.16277530931710979</v>
      </c>
      <c r="AA9">
        <v>0.5556011834209077</v>
      </c>
      <c r="AB9">
        <v>0.28031717820766971</v>
      </c>
      <c r="AC9">
        <v>1.1329261875803289</v>
      </c>
      <c r="AD9">
        <v>2018</v>
      </c>
      <c r="AE9">
        <v>0.70702850502426684</v>
      </c>
      <c r="AF9" s="17">
        <v>225847</v>
      </c>
      <c r="AG9" s="17">
        <v>39748</v>
      </c>
      <c r="AH9">
        <f>Data[[#This Row],[InP]]/(Data[[#This Row],[Revenue]]/1000000)</f>
        <v>0.85034356821476309</v>
      </c>
      <c r="AI9">
        <f>Data[[#This Row],[InS]]/(Data[[#This Row],[Revenue]]/1000000)</f>
        <v>0.14965643178523691</v>
      </c>
      <c r="AJ9" s="19">
        <f>Data[[#This Row],[LongTermDebt]]/Data[[#This Row],[Assets]]</f>
        <v>0.28031717820766971</v>
      </c>
    </row>
    <row r="10" spans="1:36" x14ac:dyDescent="0.3">
      <c r="A10" s="1">
        <v>43008</v>
      </c>
      <c r="B10" s="4">
        <v>141048000000</v>
      </c>
      <c r="C10" s="4">
        <v>88186000000</v>
      </c>
      <c r="D10" s="4">
        <v>61344000000</v>
      </c>
      <c r="E10" s="4">
        <v>11581000000</v>
      </c>
      <c r="F10" s="4">
        <v>15261000000</v>
      </c>
      <c r="G10" s="4">
        <v>15738000000</v>
      </c>
      <c r="H10" s="4">
        <v>48351000000</v>
      </c>
      <c r="I10" s="4">
        <v>375319000000</v>
      </c>
      <c r="J10" s="4">
        <v>128645000000</v>
      </c>
      <c r="K10" s="4">
        <v>241272000000</v>
      </c>
      <c r="L10" s="4">
        <v>100814000000</v>
      </c>
      <c r="M10" s="4">
        <v>134047000000</v>
      </c>
      <c r="N10" s="4">
        <v>20289000000</v>
      </c>
      <c r="O10" s="4"/>
      <c r="P10" s="4">
        <v>6496000000</v>
      </c>
      <c r="Q10" s="4">
        <v>97207000000</v>
      </c>
      <c r="R10" s="4">
        <v>33783000000</v>
      </c>
      <c r="S10">
        <v>229234000000</v>
      </c>
      <c r="T10">
        <v>103703000000</v>
      </c>
      <c r="U10">
        <v>0.38469860491899099</v>
      </c>
      <c r="V10">
        <v>0.26760428208729942</v>
      </c>
      <c r="W10">
        <v>0.21092420845075341</v>
      </c>
      <c r="X10">
        <v>6.304518199398057E-2</v>
      </c>
      <c r="Y10">
        <v>7.3620752648885679E-2</v>
      </c>
      <c r="Z10">
        <v>0.1288264116658096</v>
      </c>
      <c r="AA10">
        <v>0.36070184338329092</v>
      </c>
      <c r="AB10">
        <v>0.27630628878367469</v>
      </c>
      <c r="AC10">
        <v>1.2760628484139109</v>
      </c>
      <c r="AD10">
        <v>2017</v>
      </c>
      <c r="AE10">
        <v>0.64284515305646661</v>
      </c>
      <c r="AF10" s="17">
        <v>196534</v>
      </c>
      <c r="AG10" s="17">
        <v>32700</v>
      </c>
      <c r="AH10">
        <f>Data[[#This Row],[InP]]/(Data[[#This Row],[Revenue]]/1000000)</f>
        <v>0.85735100377779916</v>
      </c>
      <c r="AI10">
        <f>Data[[#This Row],[InS]]/(Data[[#This Row],[Revenue]]/1000000)</f>
        <v>0.1426489962222009</v>
      </c>
      <c r="AJ10" s="19">
        <f>Data[[#This Row],[LongTermDebt]]/Data[[#This Row],[Assets]]</f>
        <v>0.27630628878367469</v>
      </c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501C-FD74-47E6-96C5-D21A507C3346}">
  <dimension ref="A1:S64"/>
  <sheetViews>
    <sheetView topLeftCell="A46" workbookViewId="0">
      <selection activeCell="G14" sqref="G12:Q14"/>
    </sheetView>
  </sheetViews>
  <sheetFormatPr baseColWidth="10" defaultRowHeight="14.4" x14ac:dyDescent="0.3"/>
  <cols>
    <col min="1" max="1" width="16.5546875" bestFit="1" customWidth="1"/>
    <col min="2" max="2" width="13.44140625" bestFit="1" customWidth="1"/>
    <col min="3" max="3" width="14.21875" bestFit="1" customWidth="1"/>
    <col min="4" max="4" width="16.5546875" bestFit="1" customWidth="1"/>
    <col min="5" max="6" width="12" bestFit="1" customWidth="1"/>
    <col min="7" max="7" width="16.5546875" bestFit="1" customWidth="1"/>
    <col min="8" max="8" width="34.109375" bestFit="1" customWidth="1"/>
    <col min="9" max="9" width="13.33203125" bestFit="1" customWidth="1"/>
    <col min="10" max="10" width="21.44140625" bestFit="1" customWidth="1"/>
    <col min="11" max="19" width="12" bestFit="1" customWidth="1"/>
    <col min="20" max="26" width="21.44140625" bestFit="1" customWidth="1"/>
    <col min="27" max="27" width="18.109375" bestFit="1" customWidth="1"/>
    <col min="28" max="28" width="18" bestFit="1" customWidth="1"/>
    <col min="29" max="35" width="21.44140625" bestFit="1" customWidth="1"/>
    <col min="36" max="36" width="18" bestFit="1" customWidth="1"/>
    <col min="37" max="37" width="18.109375" bestFit="1" customWidth="1"/>
    <col min="38" max="38" width="20.5546875" bestFit="1" customWidth="1"/>
  </cols>
  <sheetData>
    <row r="1" spans="1:14" x14ac:dyDescent="0.3">
      <c r="A1" s="5" t="s">
        <v>0</v>
      </c>
      <c r="B1" t="s">
        <v>31</v>
      </c>
    </row>
    <row r="3" spans="1:14" x14ac:dyDescent="0.3">
      <c r="A3" s="5" t="s">
        <v>45</v>
      </c>
      <c r="B3" t="s">
        <v>43</v>
      </c>
      <c r="D3" s="5" t="s">
        <v>45</v>
      </c>
      <c r="E3" t="s">
        <v>46</v>
      </c>
      <c r="K3" s="5" t="s">
        <v>45</v>
      </c>
      <c r="L3" t="s">
        <v>50</v>
      </c>
      <c r="M3" t="s">
        <v>48</v>
      </c>
      <c r="N3" t="s">
        <v>49</v>
      </c>
    </row>
    <row r="4" spans="1:14" x14ac:dyDescent="0.3">
      <c r="A4" s="6">
        <v>2017</v>
      </c>
      <c r="B4" s="20">
        <v>229234000000</v>
      </c>
      <c r="D4" s="6" t="s">
        <v>42</v>
      </c>
      <c r="E4" s="14">
        <v>6.425511782832749E-2</v>
      </c>
      <c r="G4" s="5" t="s">
        <v>45</v>
      </c>
      <c r="H4" t="s">
        <v>44</v>
      </c>
      <c r="I4" t="s">
        <v>47</v>
      </c>
      <c r="K4" s="6">
        <v>2017</v>
      </c>
      <c r="L4" s="20">
        <v>0.38469860491899099</v>
      </c>
      <c r="M4" s="20">
        <v>0.21092420845075341</v>
      </c>
      <c r="N4" s="20">
        <v>0.26760428208729942</v>
      </c>
    </row>
    <row r="5" spans="1:14" x14ac:dyDescent="0.3">
      <c r="A5" s="6">
        <v>2018</v>
      </c>
      <c r="B5" s="20">
        <v>265595000000</v>
      </c>
      <c r="D5" s="6" t="s">
        <v>41</v>
      </c>
      <c r="E5" s="14">
        <v>2.021994077514111E-2</v>
      </c>
      <c r="G5" s="6">
        <v>2025</v>
      </c>
      <c r="H5" s="4">
        <v>220960000000</v>
      </c>
      <c r="I5" s="20">
        <v>5.0429755837833712E-2</v>
      </c>
      <c r="K5" s="6">
        <v>2018</v>
      </c>
      <c r="L5" s="20">
        <v>0.38343718820007899</v>
      </c>
      <c r="M5" s="20">
        <v>0.2241420207458725</v>
      </c>
      <c r="N5" s="20">
        <v>0.26694026619477018</v>
      </c>
    </row>
    <row r="6" spans="1:14" x14ac:dyDescent="0.3">
      <c r="A6" s="6">
        <v>2019</v>
      </c>
      <c r="B6" s="20">
        <v>260174000000</v>
      </c>
      <c r="D6" s="6" t="s">
        <v>40</v>
      </c>
      <c r="E6" s="14">
        <v>-2.800460530319937E-2</v>
      </c>
      <c r="G6" s="6">
        <v>2024</v>
      </c>
      <c r="H6" s="4">
        <v>210352000000</v>
      </c>
      <c r="I6" s="20">
        <v>-1.7675600199872021E-2</v>
      </c>
      <c r="K6" s="6">
        <v>2019</v>
      </c>
      <c r="L6" s="20">
        <v>0.37817768109034722</v>
      </c>
      <c r="M6" s="20">
        <v>0.21238094505984459</v>
      </c>
      <c r="N6" s="20">
        <v>0.24572017188496931</v>
      </c>
    </row>
    <row r="7" spans="1:14" x14ac:dyDescent="0.3">
      <c r="A7" s="6">
        <v>2020</v>
      </c>
      <c r="B7" s="20">
        <v>274515000000</v>
      </c>
      <c r="D7" s="6" t="s">
        <v>39</v>
      </c>
      <c r="E7" s="14">
        <v>7.7937876041846099E-2</v>
      </c>
      <c r="G7" s="6">
        <v>2023</v>
      </c>
      <c r="H7" s="4">
        <v>214137000000</v>
      </c>
      <c r="I7" s="20">
        <v>-4.208977123276636E-2</v>
      </c>
      <c r="K7" s="6">
        <v>2020</v>
      </c>
      <c r="L7" s="20">
        <v>0.38233247727810871</v>
      </c>
      <c r="M7" s="20">
        <v>0.20913611278072239</v>
      </c>
      <c r="N7" s="20">
        <v>0.2414731435440686</v>
      </c>
    </row>
    <row r="8" spans="1:14" x14ac:dyDescent="0.3">
      <c r="A8" s="6">
        <v>2021</v>
      </c>
      <c r="B8" s="20">
        <v>365817000000</v>
      </c>
      <c r="D8" s="6" t="s">
        <v>38</v>
      </c>
      <c r="E8" s="14">
        <v>0.33259384733074698</v>
      </c>
      <c r="G8" s="6">
        <v>2022</v>
      </c>
      <c r="H8" s="4">
        <v>223546000000</v>
      </c>
      <c r="I8" s="20">
        <v>4.960536385874792E-2</v>
      </c>
      <c r="K8" s="6">
        <v>2021</v>
      </c>
      <c r="L8" s="20">
        <v>0.41779359625167778</v>
      </c>
      <c r="M8" s="20">
        <v>0.25881793355694238</v>
      </c>
      <c r="N8" s="20">
        <v>0.29782377527561588</v>
      </c>
    </row>
    <row r="9" spans="1:14" x14ac:dyDescent="0.3">
      <c r="A9" s="6">
        <v>2022</v>
      </c>
      <c r="B9" s="20">
        <v>394328000000</v>
      </c>
      <c r="D9" s="6" t="s">
        <v>37</v>
      </c>
      <c r="E9" s="14">
        <v>5.5120803769784787E-2</v>
      </c>
      <c r="G9" s="6">
        <v>2021</v>
      </c>
      <c r="H9" s="4">
        <v>212981000000</v>
      </c>
      <c r="I9" s="20">
        <v>0.25608785142634721</v>
      </c>
      <c r="K9" s="6">
        <v>2022</v>
      </c>
      <c r="L9" s="20">
        <v>0.43309630561360091</v>
      </c>
      <c r="M9" s="20">
        <v>0.25309640705199732</v>
      </c>
      <c r="N9" s="20">
        <v>0.30288744395528588</v>
      </c>
    </row>
    <row r="10" spans="1:14" x14ac:dyDescent="0.3">
      <c r="A10" s="6">
        <v>2023</v>
      </c>
      <c r="B10" s="20">
        <v>383285000000</v>
      </c>
      <c r="D10" s="6" t="s">
        <v>36</v>
      </c>
      <c r="E10" s="14">
        <v>-2.04107758052674E-2</v>
      </c>
      <c r="G10" s="6">
        <v>2020</v>
      </c>
      <c r="H10" s="4">
        <v>169559000000</v>
      </c>
      <c r="I10" s="20">
        <v>4.8070860787973853E-2</v>
      </c>
      <c r="K10" s="6">
        <v>2023</v>
      </c>
      <c r="L10" s="20">
        <v>0.44131129577207562</v>
      </c>
      <c r="M10" s="20">
        <v>0.25306234264320282</v>
      </c>
      <c r="N10" s="20">
        <v>0.29821412265024722</v>
      </c>
    </row>
    <row r="11" spans="1:14" x14ac:dyDescent="0.3">
      <c r="A11" s="6">
        <v>2024</v>
      </c>
      <c r="B11" s="20">
        <v>391035000000</v>
      </c>
      <c r="D11" s="6" t="s">
        <v>35</v>
      </c>
      <c r="E11" s="14">
        <v>0.15861957650261299</v>
      </c>
      <c r="G11" s="6">
        <v>2019</v>
      </c>
      <c r="H11" s="4">
        <v>161782000000</v>
      </c>
      <c r="I11" s="20">
        <v>-1.205452013972008E-2</v>
      </c>
      <c r="K11" s="6">
        <v>2024</v>
      </c>
      <c r="L11" s="20">
        <v>0.46206349815233932</v>
      </c>
      <c r="M11" s="20">
        <v>0.23971255769943869</v>
      </c>
      <c r="N11" s="20">
        <v>0.31510222870075572</v>
      </c>
    </row>
    <row r="12" spans="1:14" x14ac:dyDescent="0.3">
      <c r="A12" s="6">
        <v>2025</v>
      </c>
      <c r="B12" s="20">
        <v>416161000000</v>
      </c>
      <c r="D12" s="6" t="s">
        <v>34</v>
      </c>
      <c r="E12" s="14">
        <v>6.304518199398057E-2</v>
      </c>
      <c r="G12" s="6">
        <v>2018</v>
      </c>
      <c r="H12" s="4">
        <v>163756000000</v>
      </c>
      <c r="I12" s="20">
        <v>0.16099483863649261</v>
      </c>
      <c r="K12" s="6">
        <v>2025</v>
      </c>
      <c r="L12" s="20">
        <v>0.46905164107160452</v>
      </c>
      <c r="M12" s="20">
        <v>0.26915064121818238</v>
      </c>
      <c r="N12" s="20">
        <v>0.31970799762591878</v>
      </c>
    </row>
    <row r="13" spans="1:14" x14ac:dyDescent="0.3">
      <c r="G13" s="6">
        <v>2017</v>
      </c>
      <c r="H13" s="4">
        <v>141048000000</v>
      </c>
      <c r="I13" s="20">
        <v>7.3620752648885679E-2</v>
      </c>
    </row>
    <row r="16" spans="1:14" x14ac:dyDescent="0.3">
      <c r="B16" s="10">
        <f>AVERAGE(SUM(B4:B13)/1000000/COUNT(B4:B13))</f>
        <v>331127.11111111112</v>
      </c>
      <c r="E16" s="11">
        <f>AVERAGE(E4:E13)</f>
        <v>8.0375218125997031E-2</v>
      </c>
      <c r="L16" s="15">
        <f>SUM(L4:L13)/COUNT(L4:L13)</f>
        <v>0.41688469870542488</v>
      </c>
      <c r="M16" s="15">
        <f t="shared" ref="M16:N16" si="0">SUM(M4:M13)/COUNT(M4:M13)</f>
        <v>0.23671368546743959</v>
      </c>
      <c r="N16" s="15">
        <f t="shared" si="0"/>
        <v>0.28394149243543682</v>
      </c>
    </row>
    <row r="17" spans="4:9" x14ac:dyDescent="0.3">
      <c r="E17" s="13">
        <f>SUM(E4:E13)/COUNT(E4:E13)</f>
        <v>8.0375218125997031E-2</v>
      </c>
      <c r="H17" s="10">
        <f>AVERAGE(SUM(H5:H14)/1000000/COUNT(H5:H14))</f>
        <v>190902.33333333334</v>
      </c>
      <c r="I17" s="13">
        <f>SUM(I5:I14)/COUNT(I5:I14)</f>
        <v>6.2998836847102502E-2</v>
      </c>
    </row>
    <row r="20" spans="4:9" x14ac:dyDescent="0.3">
      <c r="D20" s="5" t="s">
        <v>45</v>
      </c>
      <c r="E20" t="s">
        <v>51</v>
      </c>
      <c r="F20" t="s">
        <v>52</v>
      </c>
    </row>
    <row r="21" spans="4:9" x14ac:dyDescent="0.3">
      <c r="D21" s="6">
        <v>2017</v>
      </c>
      <c r="E21" s="12">
        <v>6.304518199398057E-2</v>
      </c>
      <c r="F21" s="12">
        <v>7.3620752648885679E-2</v>
      </c>
    </row>
    <row r="22" spans="4:9" x14ac:dyDescent="0.3">
      <c r="D22" s="6">
        <v>2018</v>
      </c>
      <c r="E22" s="12">
        <v>0.15861957650261299</v>
      </c>
      <c r="F22" s="12">
        <v>0.16099483863649261</v>
      </c>
    </row>
    <row r="23" spans="4:9" x14ac:dyDescent="0.3">
      <c r="D23" s="6">
        <v>2019</v>
      </c>
      <c r="E23" s="12">
        <v>-2.04107758052674E-2</v>
      </c>
      <c r="F23" s="12">
        <v>-1.205452013972008E-2</v>
      </c>
    </row>
    <row r="24" spans="4:9" x14ac:dyDescent="0.3">
      <c r="D24" s="6">
        <v>2020</v>
      </c>
      <c r="E24" s="12">
        <v>5.5120803769784787E-2</v>
      </c>
      <c r="F24" s="12">
        <v>4.8070860787973853E-2</v>
      </c>
    </row>
    <row r="25" spans="4:9" x14ac:dyDescent="0.3">
      <c r="D25" s="6">
        <v>2021</v>
      </c>
      <c r="E25" s="12">
        <v>0.33259384733074698</v>
      </c>
      <c r="F25" s="12">
        <v>0.25608785142634721</v>
      </c>
    </row>
    <row r="26" spans="4:9" x14ac:dyDescent="0.3">
      <c r="D26" s="6">
        <v>2022</v>
      </c>
      <c r="E26" s="12">
        <v>7.7937876041846099E-2</v>
      </c>
      <c r="F26" s="12">
        <v>4.960536385874792E-2</v>
      </c>
    </row>
    <row r="27" spans="4:9" x14ac:dyDescent="0.3">
      <c r="D27" s="6">
        <v>2023</v>
      </c>
      <c r="E27" s="12">
        <v>-2.800460530319937E-2</v>
      </c>
      <c r="F27" s="12">
        <v>-4.208977123276636E-2</v>
      </c>
    </row>
    <row r="28" spans="4:9" x14ac:dyDescent="0.3">
      <c r="D28" s="6">
        <v>2024</v>
      </c>
      <c r="E28" s="12">
        <v>2.021994077514111E-2</v>
      </c>
      <c r="F28" s="12">
        <v>-1.7675600199872021E-2</v>
      </c>
    </row>
    <row r="29" spans="4:9" x14ac:dyDescent="0.3">
      <c r="D29" s="6">
        <v>2025</v>
      </c>
      <c r="E29" s="12">
        <v>6.425511782832749E-2</v>
      </c>
      <c r="F29" s="12">
        <v>5.0429755837833712E-2</v>
      </c>
    </row>
    <row r="33" spans="1:19" x14ac:dyDescent="0.3">
      <c r="A33" s="5" t="s">
        <v>45</v>
      </c>
      <c r="B33" t="s">
        <v>66</v>
      </c>
      <c r="C33" t="s">
        <v>65</v>
      </c>
    </row>
    <row r="34" spans="1:19" x14ac:dyDescent="0.3">
      <c r="A34" s="6">
        <v>2017</v>
      </c>
      <c r="B34" s="20">
        <v>0.85735100377779916</v>
      </c>
      <c r="C34" s="20">
        <v>0.1426489962222009</v>
      </c>
    </row>
    <row r="35" spans="1:19" x14ac:dyDescent="0.3">
      <c r="A35" s="6">
        <v>2018</v>
      </c>
      <c r="B35" s="20">
        <v>0.85034356821476309</v>
      </c>
      <c r="C35" s="20">
        <v>0.14965643178523691</v>
      </c>
    </row>
    <row r="36" spans="1:19" x14ac:dyDescent="0.3">
      <c r="A36" s="6">
        <v>2019</v>
      </c>
      <c r="B36" s="20">
        <v>0.82207676401177676</v>
      </c>
      <c r="C36" s="20">
        <v>0.17792323598822327</v>
      </c>
    </row>
    <row r="37" spans="1:19" x14ac:dyDescent="0.3">
      <c r="A37" s="6">
        <v>2020</v>
      </c>
      <c r="B37" s="20">
        <v>0.80413456459574162</v>
      </c>
      <c r="C37" s="20">
        <v>0.19586543540425841</v>
      </c>
    </row>
    <row r="38" spans="1:19" x14ac:dyDescent="0.3">
      <c r="A38" s="6">
        <v>2021</v>
      </c>
      <c r="B38" s="20">
        <v>0.81295292454970658</v>
      </c>
      <c r="C38" s="20">
        <v>0.18704707545029345</v>
      </c>
    </row>
    <row r="39" spans="1:19" x14ac:dyDescent="0.3">
      <c r="A39" s="6">
        <v>2022</v>
      </c>
      <c r="B39" s="20">
        <v>0.80186798807084458</v>
      </c>
      <c r="C39" s="20">
        <v>0.19813201192915542</v>
      </c>
    </row>
    <row r="40" spans="1:19" x14ac:dyDescent="0.3">
      <c r="A40" s="6">
        <v>2023</v>
      </c>
      <c r="B40" s="20">
        <v>0.77771110270425403</v>
      </c>
      <c r="C40" s="20">
        <v>0.222288897295746</v>
      </c>
      <c r="J40" s="5" t="s">
        <v>32</v>
      </c>
    </row>
    <row r="41" spans="1:19" x14ac:dyDescent="0.3">
      <c r="A41" s="6">
        <v>2024</v>
      </c>
      <c r="B41" s="20">
        <v>0.75406549285869551</v>
      </c>
      <c r="C41" s="20">
        <v>0.24593450714130449</v>
      </c>
      <c r="J41">
        <v>2017</v>
      </c>
      <c r="K41">
        <v>2018</v>
      </c>
      <c r="L41">
        <v>2019</v>
      </c>
      <c r="M41">
        <v>2020</v>
      </c>
      <c r="N41">
        <v>2021</v>
      </c>
      <c r="O41">
        <v>2022</v>
      </c>
      <c r="P41">
        <v>2023</v>
      </c>
      <c r="Q41">
        <v>2024</v>
      </c>
      <c r="R41">
        <v>2025</v>
      </c>
      <c r="S41" t="s">
        <v>33</v>
      </c>
    </row>
    <row r="42" spans="1:19" x14ac:dyDescent="0.3">
      <c r="A42" s="6">
        <v>2025</v>
      </c>
      <c r="B42" s="20">
        <v>0.73770247572453929</v>
      </c>
      <c r="C42" s="20">
        <v>0.26229752427546071</v>
      </c>
      <c r="I42" t="s">
        <v>60</v>
      </c>
      <c r="J42" s="20">
        <v>0.85735100377779916</v>
      </c>
      <c r="K42" s="20">
        <v>0.85034356821476309</v>
      </c>
      <c r="L42" s="20">
        <v>0.82207676401177676</v>
      </c>
      <c r="M42" s="20">
        <v>0.80413456459574162</v>
      </c>
      <c r="N42" s="20">
        <v>0.81295292454970658</v>
      </c>
      <c r="O42" s="20">
        <v>0.80186798807084458</v>
      </c>
      <c r="P42" s="20">
        <v>0.77771110270425403</v>
      </c>
      <c r="Q42" s="20">
        <v>0.75406549285869551</v>
      </c>
      <c r="R42" s="20">
        <v>0.73770247572453929</v>
      </c>
      <c r="S42" s="20">
        <v>7.2182058845081212</v>
      </c>
    </row>
    <row r="44" spans="1:19" x14ac:dyDescent="0.3">
      <c r="A44" t="s">
        <v>64</v>
      </c>
      <c r="B44" t="s">
        <v>61</v>
      </c>
    </row>
    <row r="45" spans="1:19" x14ac:dyDescent="0.3">
      <c r="A45" t="s">
        <v>62</v>
      </c>
      <c r="B45">
        <f>SUM(B34:B42)/COUNT(B34:B42)</f>
        <v>0.80202287605645795</v>
      </c>
    </row>
    <row r="46" spans="1:19" x14ac:dyDescent="0.3">
      <c r="A46" t="s">
        <v>63</v>
      </c>
      <c r="B46">
        <f>SUM(C34:C42)/COUNT(C34:C42)</f>
        <v>0.19797712394354214</v>
      </c>
    </row>
    <row r="54" spans="1:6" x14ac:dyDescent="0.3">
      <c r="A54" s="5" t="s">
        <v>45</v>
      </c>
      <c r="B54" t="s">
        <v>70</v>
      </c>
      <c r="C54" t="s">
        <v>71</v>
      </c>
      <c r="D54" s="5" t="s">
        <v>45</v>
      </c>
      <c r="E54" t="s">
        <v>67</v>
      </c>
      <c r="F54" t="s">
        <v>68</v>
      </c>
    </row>
    <row r="55" spans="1:6" x14ac:dyDescent="0.3">
      <c r="A55" s="6">
        <v>2017</v>
      </c>
      <c r="B55" s="20">
        <v>0.27630628878367469</v>
      </c>
      <c r="C55" s="20">
        <v>0.64284515305646661</v>
      </c>
      <c r="D55" s="6">
        <v>2017</v>
      </c>
      <c r="E55" s="20">
        <v>0.36070184338329092</v>
      </c>
      <c r="F55" s="20">
        <v>0.1288264116658096</v>
      </c>
    </row>
    <row r="56" spans="1:6" x14ac:dyDescent="0.3">
      <c r="A56" s="6">
        <v>2018</v>
      </c>
      <c r="B56" s="20">
        <v>0.28031717820766971</v>
      </c>
      <c r="C56" s="20">
        <v>0.70702850502426684</v>
      </c>
      <c r="D56" s="6">
        <v>2018</v>
      </c>
      <c r="E56" s="20">
        <v>0.5556011834209077</v>
      </c>
      <c r="F56" s="20">
        <v>0.16277530931710979</v>
      </c>
    </row>
    <row r="57" spans="1:6" x14ac:dyDescent="0.3">
      <c r="A57" s="6">
        <v>2019</v>
      </c>
      <c r="B57" s="20">
        <v>0.30151307471434141</v>
      </c>
      <c r="C57" s="20">
        <v>0.73269210317976108</v>
      </c>
      <c r="D57" s="6">
        <v>2019</v>
      </c>
      <c r="E57" s="20">
        <v>0.61064450534877557</v>
      </c>
      <c r="F57" s="20">
        <v>0.1632300984296163</v>
      </c>
    </row>
    <row r="58" spans="1:6" x14ac:dyDescent="0.3">
      <c r="A58" s="6">
        <v>2020</v>
      </c>
      <c r="B58" s="20">
        <v>0.33171960677765161</v>
      </c>
      <c r="C58" s="20">
        <v>0.79826668477992391</v>
      </c>
      <c r="D58" s="6">
        <v>2020</v>
      </c>
      <c r="E58" s="20">
        <v>0.87866358530127486</v>
      </c>
      <c r="F58" s="20">
        <v>0.1772557180259843</v>
      </c>
    </row>
    <row r="59" spans="1:6" x14ac:dyDescent="0.3">
      <c r="A59" s="6">
        <v>2021</v>
      </c>
      <c r="B59" s="20">
        <v>0.33822884200090031</v>
      </c>
      <c r="C59" s="20">
        <v>0.82025743443057308</v>
      </c>
      <c r="D59" s="6">
        <v>2021</v>
      </c>
      <c r="E59" s="20">
        <v>1.5007132667617691</v>
      </c>
      <c r="F59" s="20">
        <v>0.26974205275183621</v>
      </c>
    </row>
    <row r="60" spans="1:6" x14ac:dyDescent="0.3">
      <c r="A60" s="6">
        <v>2022</v>
      </c>
      <c r="B60" s="20">
        <v>0.31207778769967831</v>
      </c>
      <c r="C60" s="20">
        <v>0.85635355983614692</v>
      </c>
      <c r="D60" s="6">
        <v>2022</v>
      </c>
      <c r="E60" s="20">
        <v>1.969588727502368</v>
      </c>
      <c r="F60" s="20">
        <v>0.28292440929256851</v>
      </c>
    </row>
    <row r="61" spans="1:6" x14ac:dyDescent="0.3">
      <c r="A61" s="6">
        <v>2023</v>
      </c>
      <c r="B61" s="20">
        <v>0.29809434941559859</v>
      </c>
      <c r="C61" s="20">
        <v>0.82374079294804348</v>
      </c>
      <c r="D61" s="6">
        <v>2023</v>
      </c>
      <c r="E61" s="20">
        <v>1.560760145463908</v>
      </c>
      <c r="F61" s="20">
        <v>0.27509834563776481</v>
      </c>
    </row>
    <row r="62" spans="1:6" x14ac:dyDescent="0.3">
      <c r="A62" s="6">
        <v>2024</v>
      </c>
      <c r="B62" s="20">
        <v>0.2648419091457066</v>
      </c>
      <c r="C62" s="20">
        <v>0.84396405282481235</v>
      </c>
      <c r="D62" s="6">
        <v>2024</v>
      </c>
      <c r="E62" s="20">
        <v>1.6459350307287099</v>
      </c>
      <c r="F62" s="20">
        <v>0.25682503150857577</v>
      </c>
    </row>
    <row r="63" spans="1:6" x14ac:dyDescent="0.3">
      <c r="A63" s="6">
        <v>2025</v>
      </c>
      <c r="B63" s="20">
        <v>0.2524155093655791</v>
      </c>
      <c r="C63" s="20">
        <v>0.79475338282657049</v>
      </c>
      <c r="D63" s="6">
        <v>2025</v>
      </c>
      <c r="E63" s="20">
        <v>1.5191298333175109</v>
      </c>
      <c r="F63" s="20">
        <v>0.31179625933565491</v>
      </c>
    </row>
    <row r="64" spans="1:6" x14ac:dyDescent="0.3">
      <c r="A64" s="6" t="s">
        <v>33</v>
      </c>
      <c r="B64" s="20">
        <v>2.6555145461108003</v>
      </c>
      <c r="C64" s="20">
        <v>7.0199016689065648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A355-D39F-467D-BCCD-EA012C471DBD}">
  <dimension ref="A1:AG11"/>
  <sheetViews>
    <sheetView workbookViewId="0">
      <selection sqref="A1:AG11"/>
    </sheetView>
  </sheetViews>
  <sheetFormatPr baseColWidth="10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56</v>
      </c>
      <c r="AG1" t="s">
        <v>57</v>
      </c>
    </row>
    <row r="2" spans="1:33" x14ac:dyDescent="0.3">
      <c r="A2">
        <v>45927</v>
      </c>
      <c r="B2">
        <v>220960000000</v>
      </c>
      <c r="C2">
        <v>195201000000</v>
      </c>
      <c r="D2">
        <v>133050000000</v>
      </c>
      <c r="E2">
        <v>34550000000</v>
      </c>
      <c r="F2">
        <v>27601000000</v>
      </c>
      <c r="G2">
        <v>20719000000</v>
      </c>
      <c r="H2">
        <v>112010000000</v>
      </c>
      <c r="I2">
        <v>359241000000</v>
      </c>
      <c r="J2">
        <v>147957000000</v>
      </c>
      <c r="K2">
        <v>285508000000</v>
      </c>
      <c r="L2">
        <v>165631000000</v>
      </c>
      <c r="M2">
        <v>73733000000</v>
      </c>
      <c r="N2">
        <v>35934000000</v>
      </c>
      <c r="O2">
        <v>18763000000</v>
      </c>
      <c r="P2">
        <v>12350000000</v>
      </c>
      <c r="Q2">
        <v>78328000000</v>
      </c>
      <c r="R2">
        <v>49834000000</v>
      </c>
      <c r="S2">
        <v>416161000000</v>
      </c>
      <c r="T2">
        <v>90678000000</v>
      </c>
      <c r="U2">
        <v>0.46905164107160452</v>
      </c>
      <c r="V2">
        <v>0.31970799762591878</v>
      </c>
      <c r="W2">
        <v>0.26915064121818238</v>
      </c>
      <c r="X2">
        <v>6.425511782832749E-2</v>
      </c>
      <c r="Y2">
        <v>5.0429755837833712E-2</v>
      </c>
      <c r="Z2">
        <v>0.31179625933565491</v>
      </c>
      <c r="AA2">
        <v>1.5191298333175109</v>
      </c>
      <c r="AB2">
        <v>0.2524155093655791</v>
      </c>
      <c r="AC2">
        <v>0.89329292221866674</v>
      </c>
      <c r="AD2">
        <v>2025</v>
      </c>
      <c r="AE2">
        <v>0.79475338282657049</v>
      </c>
      <c r="AF2">
        <v>307003</v>
      </c>
      <c r="AG2">
        <v>109158</v>
      </c>
    </row>
    <row r="3" spans="1:33" x14ac:dyDescent="0.3">
      <c r="A3">
        <v>45563</v>
      </c>
      <c r="B3">
        <v>210352000000</v>
      </c>
      <c r="C3">
        <v>180683000000</v>
      </c>
      <c r="D3">
        <v>123216000000</v>
      </c>
      <c r="E3">
        <v>31370000000</v>
      </c>
      <c r="F3">
        <v>26097000000</v>
      </c>
      <c r="G3">
        <v>29749000000</v>
      </c>
      <c r="H3">
        <v>93736000000</v>
      </c>
      <c r="I3">
        <v>364980000000</v>
      </c>
      <c r="J3">
        <v>152987000000</v>
      </c>
      <c r="K3">
        <v>308030000000</v>
      </c>
      <c r="L3">
        <v>176392000000</v>
      </c>
      <c r="M3">
        <v>56950000000</v>
      </c>
      <c r="N3">
        <v>29943000000</v>
      </c>
      <c r="O3">
        <v>35228000000</v>
      </c>
      <c r="P3">
        <v>10912000000</v>
      </c>
      <c r="Q3">
        <v>85750000000</v>
      </c>
      <c r="R3">
        <v>45680000000</v>
      </c>
      <c r="S3">
        <v>391035000000</v>
      </c>
      <c r="T3">
        <v>96662000000</v>
      </c>
      <c r="U3">
        <v>0.46206349815233932</v>
      </c>
      <c r="V3">
        <v>0.31510222870075572</v>
      </c>
      <c r="W3">
        <v>0.23971255769943869</v>
      </c>
      <c r="X3">
        <v>2.021994077514111E-2</v>
      </c>
      <c r="Y3">
        <v>-1.7675600199872021E-2</v>
      </c>
      <c r="Z3">
        <v>0.25682503150857577</v>
      </c>
      <c r="AA3">
        <v>1.6459350307287099</v>
      </c>
      <c r="AB3">
        <v>0.2648419091457066</v>
      </c>
      <c r="AC3">
        <v>0.86731257653408322</v>
      </c>
      <c r="AD3">
        <v>2024</v>
      </c>
      <c r="AE3">
        <v>0.84396405282481235</v>
      </c>
      <c r="AF3">
        <v>294866</v>
      </c>
      <c r="AG3">
        <v>96169</v>
      </c>
    </row>
    <row r="4" spans="1:33" x14ac:dyDescent="0.3">
      <c r="A4">
        <v>45199</v>
      </c>
      <c r="B4">
        <v>214137000000</v>
      </c>
      <c r="C4">
        <v>169148000000</v>
      </c>
      <c r="D4">
        <v>114301000000</v>
      </c>
      <c r="E4">
        <v>29915000000</v>
      </c>
      <c r="F4">
        <v>24932000000</v>
      </c>
      <c r="G4">
        <v>16741000000</v>
      </c>
      <c r="H4">
        <v>96995000000</v>
      </c>
      <c r="I4">
        <v>352583000000</v>
      </c>
      <c r="J4">
        <v>143566000000</v>
      </c>
      <c r="K4">
        <v>290437000000</v>
      </c>
      <c r="L4">
        <v>145308000000</v>
      </c>
      <c r="M4">
        <v>62146000000</v>
      </c>
      <c r="N4">
        <v>29965000000</v>
      </c>
      <c r="O4">
        <v>31590000000</v>
      </c>
      <c r="P4">
        <v>9822000000</v>
      </c>
      <c r="Q4">
        <v>95281000000</v>
      </c>
      <c r="R4">
        <v>43715000000</v>
      </c>
      <c r="S4">
        <v>383285000000</v>
      </c>
      <c r="T4">
        <v>105103000000</v>
      </c>
      <c r="U4">
        <v>0.44131129577207562</v>
      </c>
      <c r="V4">
        <v>0.29821412265024722</v>
      </c>
      <c r="W4">
        <v>0.25306234264320282</v>
      </c>
      <c r="X4">
        <v>-2.800460530319937E-2</v>
      </c>
      <c r="Y4">
        <v>-4.208977123276636E-2</v>
      </c>
      <c r="Z4">
        <v>0.27509834563776481</v>
      </c>
      <c r="AA4">
        <v>1.560760145463908</v>
      </c>
      <c r="AB4">
        <v>0.29809434941559859</v>
      </c>
      <c r="AC4">
        <v>0.98801167175929749</v>
      </c>
      <c r="AD4">
        <v>2023</v>
      </c>
      <c r="AE4">
        <v>0.82374079294804348</v>
      </c>
      <c r="AF4">
        <v>298085</v>
      </c>
      <c r="AG4">
        <v>85200</v>
      </c>
    </row>
    <row r="5" spans="1:33" x14ac:dyDescent="0.3">
      <c r="A5">
        <v>44828</v>
      </c>
      <c r="B5">
        <v>223546000000</v>
      </c>
      <c r="C5">
        <v>170782000000</v>
      </c>
      <c r="D5">
        <v>119437000000</v>
      </c>
      <c r="E5">
        <v>26251000000</v>
      </c>
      <c r="F5">
        <v>25094000000</v>
      </c>
      <c r="G5">
        <v>19300000000</v>
      </c>
      <c r="H5">
        <v>99803000000</v>
      </c>
      <c r="I5">
        <v>352755000000</v>
      </c>
      <c r="J5">
        <v>135405000000</v>
      </c>
      <c r="K5">
        <v>302083000000</v>
      </c>
      <c r="L5">
        <v>153982000000</v>
      </c>
      <c r="M5">
        <v>50672000000</v>
      </c>
      <c r="N5">
        <v>23646000000</v>
      </c>
      <c r="O5">
        <v>24658000000</v>
      </c>
      <c r="P5">
        <v>11128000000</v>
      </c>
      <c r="Q5">
        <v>98959000000</v>
      </c>
      <c r="R5">
        <v>42117000000</v>
      </c>
      <c r="S5">
        <v>394328000000</v>
      </c>
      <c r="T5">
        <v>110087000000</v>
      </c>
      <c r="U5">
        <v>0.43309630561360091</v>
      </c>
      <c r="V5">
        <v>0.30288744395528588</v>
      </c>
      <c r="W5">
        <v>0.25309640705199732</v>
      </c>
      <c r="X5">
        <v>7.7937876041846099E-2</v>
      </c>
      <c r="Y5">
        <v>4.960536385874792E-2</v>
      </c>
      <c r="Z5">
        <v>0.28292440929256851</v>
      </c>
      <c r="AA5">
        <v>1.969588727502368</v>
      </c>
      <c r="AB5">
        <v>0.31207778769967831</v>
      </c>
      <c r="AC5">
        <v>0.87935602862672257</v>
      </c>
      <c r="AD5">
        <v>2022</v>
      </c>
      <c r="AE5">
        <v>0.85635355983614692</v>
      </c>
      <c r="AF5" t="s">
        <v>53</v>
      </c>
      <c r="AG5">
        <v>78129</v>
      </c>
    </row>
    <row r="6" spans="1:33" x14ac:dyDescent="0.3">
      <c r="A6">
        <v>44464</v>
      </c>
      <c r="B6">
        <v>212981000000</v>
      </c>
      <c r="C6">
        <v>152836000000</v>
      </c>
      <c r="D6">
        <v>108949000000</v>
      </c>
      <c r="E6">
        <v>21914000000</v>
      </c>
      <c r="F6">
        <v>21973000000</v>
      </c>
      <c r="G6">
        <v>14527000000</v>
      </c>
      <c r="H6">
        <v>94680000000</v>
      </c>
      <c r="I6">
        <v>351002000000</v>
      </c>
      <c r="J6">
        <v>134836000000</v>
      </c>
      <c r="K6">
        <v>287912000000</v>
      </c>
      <c r="L6">
        <v>125481000000</v>
      </c>
      <c r="M6">
        <v>63090000000</v>
      </c>
      <c r="N6">
        <v>34940000000</v>
      </c>
      <c r="O6">
        <v>27699000000</v>
      </c>
      <c r="P6">
        <v>9613000000</v>
      </c>
      <c r="Q6">
        <v>109106000000</v>
      </c>
      <c r="R6">
        <v>39440000000</v>
      </c>
      <c r="S6">
        <v>365817000000</v>
      </c>
      <c r="T6">
        <v>118719000000</v>
      </c>
      <c r="U6">
        <v>0.41779359625167778</v>
      </c>
      <c r="V6">
        <v>0.29782377527561588</v>
      </c>
      <c r="W6">
        <v>0.25881793355694238</v>
      </c>
      <c r="X6">
        <v>0.33259384733074698</v>
      </c>
      <c r="Y6">
        <v>0.25608785142634721</v>
      </c>
      <c r="Z6">
        <v>0.26974205275183621</v>
      </c>
      <c r="AA6">
        <v>1.5007132667617691</v>
      </c>
      <c r="AB6">
        <v>0.33822884200090031</v>
      </c>
      <c r="AC6">
        <v>1.0745531195957949</v>
      </c>
      <c r="AD6">
        <v>2021</v>
      </c>
      <c r="AE6">
        <v>0.82025743443057308</v>
      </c>
      <c r="AF6" t="s">
        <v>54</v>
      </c>
      <c r="AG6" t="s">
        <v>55</v>
      </c>
    </row>
    <row r="7" spans="1:33" x14ac:dyDescent="0.3">
      <c r="A7">
        <v>44100</v>
      </c>
      <c r="B7">
        <v>169559000000</v>
      </c>
      <c r="C7">
        <v>104956000000</v>
      </c>
      <c r="D7">
        <v>66288000000</v>
      </c>
      <c r="E7">
        <v>18752000000</v>
      </c>
      <c r="F7">
        <v>19916000000</v>
      </c>
      <c r="G7">
        <v>9680000000</v>
      </c>
      <c r="H7">
        <v>57411000000</v>
      </c>
      <c r="I7">
        <v>323888000000</v>
      </c>
      <c r="J7">
        <v>143713000000</v>
      </c>
      <c r="K7">
        <v>258549000000</v>
      </c>
      <c r="L7">
        <v>105392000000</v>
      </c>
      <c r="M7">
        <v>65339000000</v>
      </c>
      <c r="N7">
        <v>38016000000</v>
      </c>
      <c r="O7">
        <v>52927000000</v>
      </c>
      <c r="P7">
        <v>8773000000</v>
      </c>
      <c r="Q7">
        <v>98667000000</v>
      </c>
      <c r="R7">
        <v>36766000000</v>
      </c>
      <c r="S7">
        <v>274515000000</v>
      </c>
      <c r="T7">
        <v>107440000000</v>
      </c>
      <c r="U7">
        <v>0.38233247727810871</v>
      </c>
      <c r="V7">
        <v>0.2414731435440686</v>
      </c>
      <c r="W7">
        <v>0.20913611278072239</v>
      </c>
      <c r="X7">
        <v>5.5120803769784787E-2</v>
      </c>
      <c r="Y7">
        <v>4.8070860787973853E-2</v>
      </c>
      <c r="Z7">
        <v>0.1772557180259843</v>
      </c>
      <c r="AA7">
        <v>0.87866358530127486</v>
      </c>
      <c r="AB7">
        <v>0.33171960677765161</v>
      </c>
      <c r="AC7">
        <v>1.3636044481554579</v>
      </c>
      <c r="AD7">
        <v>2020</v>
      </c>
      <c r="AE7">
        <v>0.79826668477992391</v>
      </c>
      <c r="AF7">
        <v>220747</v>
      </c>
      <c r="AG7">
        <v>53768</v>
      </c>
    </row>
    <row r="8" spans="1:33" x14ac:dyDescent="0.3">
      <c r="A8">
        <v>43736</v>
      </c>
      <c r="B8">
        <v>161782000000</v>
      </c>
      <c r="C8">
        <v>98392000000</v>
      </c>
      <c r="D8">
        <v>63930000000</v>
      </c>
      <c r="E8">
        <v>16217000000</v>
      </c>
      <c r="F8">
        <v>18245000000</v>
      </c>
      <c r="G8">
        <v>10481000000</v>
      </c>
      <c r="H8">
        <v>55256000000</v>
      </c>
      <c r="I8">
        <v>338516000000</v>
      </c>
      <c r="J8">
        <v>162819000000</v>
      </c>
      <c r="K8">
        <v>248028000000</v>
      </c>
      <c r="L8">
        <v>105718000000</v>
      </c>
      <c r="M8">
        <v>90488000000</v>
      </c>
      <c r="N8">
        <v>48844000000</v>
      </c>
      <c r="O8">
        <v>51713000000</v>
      </c>
      <c r="P8">
        <v>10260000000</v>
      </c>
      <c r="Q8">
        <v>91807000000</v>
      </c>
      <c r="R8">
        <v>37378000000</v>
      </c>
      <c r="S8">
        <v>260174000000</v>
      </c>
      <c r="T8">
        <v>102067000000</v>
      </c>
      <c r="U8">
        <v>0.37817768109034722</v>
      </c>
      <c r="V8">
        <v>0.24572017188496931</v>
      </c>
      <c r="W8">
        <v>0.21238094505984459</v>
      </c>
      <c r="X8">
        <v>-2.04107758052674E-2</v>
      </c>
      <c r="Y8">
        <v>-1.205452013972008E-2</v>
      </c>
      <c r="Z8">
        <v>0.1632300984296163</v>
      </c>
      <c r="AA8">
        <v>0.61064450534877557</v>
      </c>
      <c r="AB8">
        <v>0.30151307471434141</v>
      </c>
      <c r="AC8">
        <v>1.540125617208044</v>
      </c>
      <c r="AD8">
        <v>2019</v>
      </c>
      <c r="AE8">
        <v>0.73269210317976108</v>
      </c>
      <c r="AF8">
        <v>213883</v>
      </c>
      <c r="AG8">
        <v>46291</v>
      </c>
    </row>
    <row r="9" spans="1:33" x14ac:dyDescent="0.3">
      <c r="A9">
        <v>43372</v>
      </c>
      <c r="B9">
        <v>163756000000</v>
      </c>
      <c r="C9">
        <v>101839000000</v>
      </c>
      <c r="D9">
        <v>70898000000</v>
      </c>
      <c r="E9">
        <v>14236000000</v>
      </c>
      <c r="F9">
        <v>16705000000</v>
      </c>
      <c r="G9">
        <v>13372000000</v>
      </c>
      <c r="H9">
        <v>59531000000</v>
      </c>
      <c r="I9">
        <v>365725000000</v>
      </c>
      <c r="J9">
        <v>131339000000</v>
      </c>
      <c r="K9">
        <v>258578000000</v>
      </c>
      <c r="L9">
        <v>115929000000</v>
      </c>
      <c r="M9">
        <v>107147000000</v>
      </c>
      <c r="N9">
        <v>25913000000</v>
      </c>
      <c r="O9">
        <v>40388000000</v>
      </c>
      <c r="P9">
        <v>8784000000</v>
      </c>
      <c r="Q9">
        <v>93735000000</v>
      </c>
      <c r="R9">
        <v>41304000000</v>
      </c>
      <c r="S9">
        <v>265595000000</v>
      </c>
      <c r="T9">
        <v>102519000000</v>
      </c>
      <c r="U9">
        <v>0.38343718820007899</v>
      </c>
      <c r="V9">
        <v>0.26694026619477018</v>
      </c>
      <c r="W9">
        <v>0.2241420207458725</v>
      </c>
      <c r="X9">
        <v>0.15861957650261299</v>
      </c>
      <c r="Y9">
        <v>0.16099483863649261</v>
      </c>
      <c r="Z9">
        <v>0.16277530931710979</v>
      </c>
      <c r="AA9">
        <v>0.5556011834209077</v>
      </c>
      <c r="AB9">
        <v>0.28031717820766971</v>
      </c>
      <c r="AC9">
        <v>1.1329261875803289</v>
      </c>
      <c r="AD9">
        <v>2018</v>
      </c>
      <c r="AE9">
        <v>0.70702850502426684</v>
      </c>
      <c r="AF9">
        <v>225847</v>
      </c>
      <c r="AG9">
        <v>39748</v>
      </c>
    </row>
    <row r="10" spans="1:33" x14ac:dyDescent="0.3">
      <c r="A10">
        <v>43008</v>
      </c>
      <c r="B10">
        <v>141048000000</v>
      </c>
      <c r="C10">
        <v>88186000000</v>
      </c>
      <c r="D10">
        <v>61344000000</v>
      </c>
      <c r="E10">
        <v>11581000000</v>
      </c>
      <c r="F10">
        <v>15261000000</v>
      </c>
      <c r="G10">
        <v>15738000000</v>
      </c>
      <c r="H10">
        <v>48351000000</v>
      </c>
      <c r="I10">
        <v>375319000000</v>
      </c>
      <c r="J10">
        <v>128645000000</v>
      </c>
      <c r="K10">
        <v>241272000000</v>
      </c>
      <c r="L10">
        <v>100814000000</v>
      </c>
      <c r="M10">
        <v>134047000000</v>
      </c>
      <c r="N10">
        <v>20289000000</v>
      </c>
      <c r="P10">
        <v>6496000000</v>
      </c>
      <c r="Q10">
        <v>97207000000</v>
      </c>
      <c r="R10">
        <v>33783000000</v>
      </c>
      <c r="S10">
        <v>229234000000</v>
      </c>
      <c r="T10">
        <v>103703000000</v>
      </c>
      <c r="U10">
        <v>0.38469860491899099</v>
      </c>
      <c r="V10">
        <v>0.26760428208729942</v>
      </c>
      <c r="W10">
        <v>0.21092420845075341</v>
      </c>
      <c r="X10">
        <v>6.304518199398057E-2</v>
      </c>
      <c r="Y10">
        <v>7.3620752648885679E-2</v>
      </c>
      <c r="Z10">
        <v>0.1288264116658096</v>
      </c>
      <c r="AA10">
        <v>0.36070184338329092</v>
      </c>
      <c r="AB10">
        <v>0.27630628878367469</v>
      </c>
      <c r="AC10">
        <v>1.2760628484139109</v>
      </c>
      <c r="AD10">
        <v>2017</v>
      </c>
      <c r="AE10">
        <v>0.64284515305646661</v>
      </c>
      <c r="AF10">
        <v>196534</v>
      </c>
      <c r="AG10">
        <v>32700</v>
      </c>
    </row>
    <row r="11" spans="1:33" x14ac:dyDescent="0.3">
      <c r="A11">
        <v>42637</v>
      </c>
      <c r="B11">
        <v>131376000000</v>
      </c>
      <c r="C11">
        <v>84263000000</v>
      </c>
      <c r="D11">
        <v>60024000000</v>
      </c>
      <c r="E11">
        <v>10045000000</v>
      </c>
      <c r="F11">
        <v>14194000000</v>
      </c>
      <c r="G11">
        <v>15685000000</v>
      </c>
      <c r="H11">
        <v>45687000000</v>
      </c>
      <c r="I11">
        <v>321686000000</v>
      </c>
      <c r="J11">
        <v>106869000000</v>
      </c>
      <c r="K11">
        <v>193437000000</v>
      </c>
      <c r="L11">
        <v>79006000000</v>
      </c>
      <c r="M11">
        <v>128249000000</v>
      </c>
      <c r="N11">
        <v>20484000000</v>
      </c>
      <c r="P11">
        <v>3500000000</v>
      </c>
      <c r="Q11">
        <v>75427000000</v>
      </c>
      <c r="R11">
        <v>27010000000</v>
      </c>
      <c r="S11">
        <v>215639000000</v>
      </c>
      <c r="T11">
        <v>78927000000</v>
      </c>
      <c r="U11">
        <v>0.39075955648097049</v>
      </c>
      <c r="V11">
        <v>0.27835410106706121</v>
      </c>
      <c r="W11">
        <v>0.211867983064288</v>
      </c>
      <c r="Z11">
        <v>0.14202358821956809</v>
      </c>
      <c r="AA11">
        <v>0.35623669580269629</v>
      </c>
      <c r="AB11">
        <v>0.24535416524188181</v>
      </c>
      <c r="AC11">
        <v>1.352669417512594</v>
      </c>
      <c r="AD11">
        <v>2016</v>
      </c>
      <c r="AE11">
        <v>0.60132240756514121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BC3E-369F-4F22-B5F3-4B7068847188}">
  <dimension ref="A1:S31"/>
  <sheetViews>
    <sheetView tabSelected="1" zoomScaleNormal="100" workbookViewId="0">
      <selection activeCell="N18" sqref="N18"/>
    </sheetView>
  </sheetViews>
  <sheetFormatPr baseColWidth="10" defaultColWidth="14" defaultRowHeight="14.4" x14ac:dyDescent="0.3"/>
  <sheetData>
    <row r="1" spans="1:19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8"/>
      <c r="R1" s="7"/>
      <c r="S1" s="7"/>
    </row>
    <row r="2" spans="1:19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8"/>
      <c r="R2" s="7"/>
      <c r="S2" s="7"/>
    </row>
    <row r="3" spans="1:19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8"/>
      <c r="R3" s="7"/>
      <c r="S3" s="7"/>
    </row>
    <row r="4" spans="1:19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8"/>
      <c r="R4" s="7"/>
      <c r="S4" s="7"/>
    </row>
    <row r="5" spans="1:19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7"/>
      <c r="S5" s="7"/>
    </row>
    <row r="6" spans="1:19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  <c r="R6" s="7"/>
      <c r="S6" s="7"/>
    </row>
    <row r="7" spans="1:19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8"/>
      <c r="R7" s="7"/>
      <c r="S7" s="7"/>
    </row>
    <row r="8" spans="1:19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8"/>
      <c r="R8" s="7"/>
      <c r="S8" s="7"/>
    </row>
    <row r="9" spans="1:19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8"/>
      <c r="R9" s="7"/>
      <c r="S9" s="7"/>
    </row>
    <row r="10" spans="1:19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8"/>
      <c r="R10" s="7"/>
      <c r="S10" s="7"/>
    </row>
    <row r="11" spans="1:19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"/>
      <c r="R11" s="7"/>
      <c r="S11" s="7"/>
    </row>
    <row r="12" spans="1:19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8"/>
      <c r="R12" s="7"/>
      <c r="S12" s="7"/>
    </row>
    <row r="13" spans="1:19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8"/>
      <c r="R13" s="7"/>
      <c r="S13" s="7"/>
    </row>
    <row r="14" spans="1:19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8"/>
      <c r="R14" s="7"/>
      <c r="S14" s="7"/>
    </row>
    <row r="15" spans="1:19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8"/>
      <c r="R15" s="7"/>
      <c r="S15" s="7"/>
    </row>
    <row r="16" spans="1:19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8"/>
      <c r="R16" s="7"/>
      <c r="S16" s="7"/>
    </row>
    <row r="17" spans="1:19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8"/>
      <c r="R17" s="7"/>
      <c r="S17" s="7"/>
    </row>
    <row r="18" spans="1:19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8"/>
      <c r="R18" s="7"/>
      <c r="S18" s="7"/>
    </row>
    <row r="19" spans="1:19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8"/>
      <c r="R19" s="7"/>
      <c r="S19" s="7"/>
    </row>
    <row r="20" spans="1:19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8"/>
      <c r="R20" s="7"/>
      <c r="S20" s="7"/>
    </row>
    <row r="21" spans="1:19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8"/>
      <c r="R21" s="7"/>
      <c r="S21" s="7"/>
    </row>
    <row r="22" spans="1:19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8"/>
      <c r="R22" s="7"/>
      <c r="S22" s="7"/>
    </row>
    <row r="23" spans="1:19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8"/>
      <c r="R23" s="7"/>
      <c r="S23" s="7"/>
    </row>
    <row r="24" spans="1:19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8"/>
      <c r="R24" s="7"/>
      <c r="S24" s="7"/>
    </row>
    <row r="25" spans="1:19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8"/>
      <c r="R25" s="7"/>
      <c r="S25" s="7"/>
    </row>
    <row r="26" spans="1:19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8"/>
      <c r="R26" s="7"/>
      <c r="S26" s="7"/>
    </row>
    <row r="27" spans="1:19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8"/>
      <c r="R27" s="7"/>
      <c r="S27" s="7"/>
    </row>
    <row r="28" spans="1:19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8"/>
      <c r="R28" s="7"/>
      <c r="S28" s="7"/>
    </row>
    <row r="29" spans="1:19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8"/>
      <c r="R29" s="7"/>
      <c r="S29" s="7"/>
    </row>
    <row r="30" spans="1:19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8"/>
      <c r="R30" s="7"/>
      <c r="S30" s="7"/>
    </row>
    <row r="31" spans="1:19" x14ac:dyDescent="0.3">
      <c r="A31" s="21" t="s">
        <v>72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8"/>
      <c r="R31" s="7"/>
      <c r="S31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CalculosGraficos</vt:lpstr>
      <vt:lpstr>Originial_Data</vt:lpstr>
      <vt:lpstr>Dasboard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Anival Orbegoso</cp:lastModifiedBy>
  <dcterms:created xsi:type="dcterms:W3CDTF">2026-01-18T02:19:12Z</dcterms:created>
  <dcterms:modified xsi:type="dcterms:W3CDTF">2026-01-19T22:23:50Z</dcterms:modified>
</cp:coreProperties>
</file>