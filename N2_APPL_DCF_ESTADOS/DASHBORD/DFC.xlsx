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nival\Downloads\"/>
    </mc:Choice>
  </mc:AlternateContent>
  <xr:revisionPtr revIDLastSave="0" documentId="13_ncr:1_{65094455-B56A-459C-AAE2-B95653418F5E}" xr6:coauthVersionLast="47" xr6:coauthVersionMax="47" xr10:uidLastSave="{00000000-0000-0000-0000-000000000000}"/>
  <bookViews>
    <workbookView xWindow="-108" yWindow="-108" windowWidth="23256" windowHeight="13176" tabRatio="599" firstSheet="3" activeTab="5" xr2:uid="{C65E0EF1-BF0A-4E43-A10F-0EB2C1A7CE9E}"/>
  </bookViews>
  <sheets>
    <sheet name="INCOME STATEMENT" sheetId="2" state="hidden" r:id="rId1"/>
    <sheet name="Balance Sheet" sheetId="3" state="hidden" r:id="rId2"/>
    <sheet name="CASH FLOW" sheetId="4" state="hidden" r:id="rId3"/>
    <sheet name="PROYECCIONES" sheetId="5" r:id="rId4"/>
    <sheet name="WACC" sheetId="7" r:id="rId5"/>
    <sheet name="DCF"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5" l="1"/>
  <c r="B10" i="6"/>
  <c r="I25" i="5"/>
  <c r="E12" i="6"/>
  <c r="E13" i="6"/>
  <c r="E16" i="6"/>
  <c r="E15" i="6"/>
  <c r="F11" i="6"/>
  <c r="G11" i="6"/>
  <c r="J11" i="6"/>
  <c r="I11" i="6"/>
  <c r="B16" i="6"/>
  <c r="B15" i="6"/>
  <c r="B11" i="6"/>
  <c r="F11" i="5"/>
  <c r="G11" i="5"/>
  <c r="H11" i="5"/>
  <c r="I11" i="5"/>
  <c r="E11" i="5"/>
  <c r="B3" i="7"/>
  <c r="B4" i="7"/>
  <c r="B16" i="7"/>
  <c r="B9" i="7"/>
  <c r="B6" i="7"/>
  <c r="B13" i="7"/>
  <c r="B7" i="7"/>
  <c r="D3" i="6"/>
  <c r="E3" i="6"/>
  <c r="C3" i="6"/>
  <c r="F16" i="5"/>
  <c r="G16" i="5"/>
  <c r="H16" i="5"/>
  <c r="I16" i="5"/>
  <c r="E16" i="5"/>
  <c r="F15" i="5"/>
  <c r="G15" i="5"/>
  <c r="H15" i="5"/>
  <c r="I15" i="5"/>
  <c r="E15" i="5"/>
  <c r="D21" i="5"/>
  <c r="C19" i="5"/>
  <c r="D19" i="5"/>
  <c r="C20" i="5"/>
  <c r="D20" i="5"/>
  <c r="B19" i="5"/>
  <c r="C57" i="5"/>
  <c r="B20" i="5" s="1"/>
  <c r="D57" i="5"/>
  <c r="C52" i="5"/>
  <c r="D52" i="5"/>
  <c r="E52" i="5"/>
  <c r="B52" i="5"/>
  <c r="B62" i="5"/>
  <c r="B61" i="5"/>
  <c r="B65" i="5" s="1"/>
  <c r="B55" i="5"/>
  <c r="C55" i="5"/>
  <c r="D55" i="5"/>
  <c r="E55" i="5"/>
  <c r="B56" i="5"/>
  <c r="B69" i="5" s="1"/>
  <c r="C56" i="5"/>
  <c r="D56" i="5"/>
  <c r="E56" i="5"/>
  <c r="C54" i="5"/>
  <c r="D54" i="5"/>
  <c r="E54" i="5"/>
  <c r="E57" i="5" s="1"/>
  <c r="B54" i="5"/>
  <c r="B66" i="5" s="1"/>
  <c r="E35" i="5"/>
  <c r="C42" i="5"/>
  <c r="D42" i="5"/>
  <c r="B42" i="5"/>
  <c r="B37" i="5"/>
  <c r="B43" i="5" s="1"/>
  <c r="C37" i="5"/>
  <c r="C43" i="5" s="1"/>
  <c r="D37" i="5"/>
  <c r="D43" i="5" s="1"/>
  <c r="C15" i="5"/>
  <c r="D15" i="5"/>
  <c r="B15" i="5"/>
  <c r="C8" i="5"/>
  <c r="D8" i="5"/>
  <c r="B8" i="5"/>
  <c r="C7" i="5"/>
  <c r="D7" i="5"/>
  <c r="B7" i="5"/>
  <c r="C4" i="5"/>
  <c r="D62" i="5" s="1"/>
  <c r="D4" i="5"/>
  <c r="E62" i="5" s="1"/>
  <c r="B4" i="5"/>
  <c r="C62" i="5" s="1"/>
  <c r="C3" i="5"/>
  <c r="D61" i="5" s="1"/>
  <c r="D3" i="5"/>
  <c r="B3" i="5"/>
  <c r="C61" i="5" s="1"/>
  <c r="F25" i="5" l="1"/>
  <c r="E25" i="5"/>
  <c r="E3" i="5" s="1"/>
  <c r="G25" i="5"/>
  <c r="H25" i="5"/>
  <c r="B8" i="7"/>
  <c r="B15" i="7"/>
  <c r="D18" i="5"/>
  <c r="B18" i="5"/>
  <c r="C18" i="5"/>
  <c r="C17" i="5" s="1"/>
  <c r="D69" i="5"/>
  <c r="C69" i="5"/>
  <c r="J69" i="5" s="1"/>
  <c r="C9" i="5"/>
  <c r="B57" i="5"/>
  <c r="D9" i="5"/>
  <c r="D68" i="5"/>
  <c r="D64" i="5"/>
  <c r="B29" i="5"/>
  <c r="D66" i="5"/>
  <c r="B9" i="5"/>
  <c r="E61" i="5"/>
  <c r="E69" i="5" s="1"/>
  <c r="D70" i="5"/>
  <c r="C28" i="5"/>
  <c r="B64" i="5"/>
  <c r="D29" i="5"/>
  <c r="B70" i="5"/>
  <c r="C29" i="5"/>
  <c r="C66" i="5"/>
  <c r="E70" i="5"/>
  <c r="C68" i="5"/>
  <c r="C64" i="5"/>
  <c r="C65" i="5"/>
  <c r="C70" i="5"/>
  <c r="E66" i="5"/>
  <c r="B28" i="5"/>
  <c r="D28" i="5"/>
  <c r="D65" i="5"/>
  <c r="B68" i="5"/>
  <c r="F43" i="5"/>
  <c r="D27" i="5"/>
  <c r="B5" i="5"/>
  <c r="B10" i="5" s="1"/>
  <c r="B12" i="5" s="1"/>
  <c r="F42" i="5"/>
  <c r="C5" i="5"/>
  <c r="E42" i="5"/>
  <c r="E36" i="5" s="1"/>
  <c r="I42" i="5"/>
  <c r="G43" i="5"/>
  <c r="H42" i="5"/>
  <c r="B27" i="5"/>
  <c r="C27" i="5"/>
  <c r="G42" i="5"/>
  <c r="E43" i="5"/>
  <c r="E37" i="5" s="1"/>
  <c r="I43" i="5"/>
  <c r="H43" i="5"/>
  <c r="D5" i="5"/>
  <c r="D10" i="5" s="1"/>
  <c r="D12" i="5" s="1"/>
  <c r="F3" i="5" l="1"/>
  <c r="G61" i="5" s="1"/>
  <c r="F61" i="5"/>
  <c r="B18" i="7"/>
  <c r="F69" i="5"/>
  <c r="G69" i="5"/>
  <c r="H69" i="5"/>
  <c r="D17" i="5"/>
  <c r="I69" i="5"/>
  <c r="C10" i="5"/>
  <c r="C12" i="5" s="1"/>
  <c r="C14" i="5" s="1"/>
  <c r="C21" i="5" s="1"/>
  <c r="H70" i="5"/>
  <c r="F70" i="5"/>
  <c r="F29" i="5"/>
  <c r="I29" i="5"/>
  <c r="H29" i="5"/>
  <c r="H66" i="5"/>
  <c r="G29" i="5"/>
  <c r="G66" i="5"/>
  <c r="E65" i="5"/>
  <c r="G65" i="5" s="1"/>
  <c r="E64" i="5"/>
  <c r="I64" i="5" s="1"/>
  <c r="J66" i="5"/>
  <c r="F66" i="5"/>
  <c r="G70" i="5"/>
  <c r="H28" i="5"/>
  <c r="E29" i="5"/>
  <c r="E8" i="5" s="1"/>
  <c r="E68" i="5"/>
  <c r="H68" i="5" s="1"/>
  <c r="H27" i="5"/>
  <c r="I27" i="5"/>
  <c r="E27" i="5"/>
  <c r="E4" i="5" s="1"/>
  <c r="F27" i="5"/>
  <c r="G27" i="5"/>
  <c r="G28" i="5"/>
  <c r="J70" i="5"/>
  <c r="D14" i="5"/>
  <c r="D30" i="5"/>
  <c r="I28" i="5"/>
  <c r="F28" i="5"/>
  <c r="I70" i="5"/>
  <c r="C30" i="5"/>
  <c r="I66" i="5"/>
  <c r="B14" i="5"/>
  <c r="B21" i="5" s="1"/>
  <c r="B30" i="5"/>
  <c r="E28" i="5"/>
  <c r="E7" i="5" s="1"/>
  <c r="F65" i="5"/>
  <c r="E38" i="5"/>
  <c r="F35" i="5" s="1"/>
  <c r="F36" i="5" s="1"/>
  <c r="F8" i="5" l="1"/>
  <c r="F4" i="5"/>
  <c r="G62" i="5" s="1"/>
  <c r="G56" i="5" s="1"/>
  <c r="G3" i="5"/>
  <c r="G4" i="5" s="1"/>
  <c r="H62" i="5" s="1"/>
  <c r="H54" i="5" s="1"/>
  <c r="F7" i="5"/>
  <c r="F50" i="5"/>
  <c r="G68" i="5"/>
  <c r="E30" i="5"/>
  <c r="F68" i="5"/>
  <c r="F51" i="5" s="1"/>
  <c r="F64" i="5"/>
  <c r="F49" i="5" s="1"/>
  <c r="J65" i="5"/>
  <c r="J68" i="5"/>
  <c r="I68" i="5"/>
  <c r="H65" i="5"/>
  <c r="E9" i="5"/>
  <c r="I65" i="5"/>
  <c r="G64" i="5"/>
  <c r="G49" i="5" s="1"/>
  <c r="J64" i="5"/>
  <c r="H64" i="5"/>
  <c r="G51" i="5"/>
  <c r="G30" i="5"/>
  <c r="H30" i="5"/>
  <c r="F30" i="5"/>
  <c r="I30" i="5"/>
  <c r="F62" i="5"/>
  <c r="F56" i="5" s="1"/>
  <c r="E5" i="5"/>
  <c r="G50" i="5"/>
  <c r="F37" i="5"/>
  <c r="F38" i="5" s="1"/>
  <c r="G35" i="5" s="1"/>
  <c r="G7" i="5" l="1"/>
  <c r="G8" i="5"/>
  <c r="H3" i="5"/>
  <c r="H61" i="5"/>
  <c r="H51" i="5" s="1"/>
  <c r="F5" i="5"/>
  <c r="G55" i="5"/>
  <c r="G54" i="5"/>
  <c r="F9" i="5"/>
  <c r="F10" i="5"/>
  <c r="F12" i="5" s="1"/>
  <c r="F13" i="5" s="1"/>
  <c r="F14" i="5" s="1"/>
  <c r="F52" i="5"/>
  <c r="E19" i="5" s="1"/>
  <c r="G52" i="5"/>
  <c r="F19" i="5" s="1"/>
  <c r="G57" i="5"/>
  <c r="F20" i="5" s="1"/>
  <c r="H56" i="5"/>
  <c r="H55" i="5"/>
  <c r="G5" i="5"/>
  <c r="E10" i="5"/>
  <c r="E12" i="5" s="1"/>
  <c r="G37" i="5"/>
  <c r="G36" i="5"/>
  <c r="G38" i="5" s="1"/>
  <c r="H35" i="5" s="1"/>
  <c r="I3" i="5"/>
  <c r="H8" i="5"/>
  <c r="I61" i="5"/>
  <c r="H7" i="5"/>
  <c r="H4" i="5"/>
  <c r="I62" i="5" s="1"/>
  <c r="I56" i="5" s="1"/>
  <c r="F55" i="5"/>
  <c r="F54" i="5"/>
  <c r="G9" i="5"/>
  <c r="H50" i="5" l="1"/>
  <c r="H49" i="5"/>
  <c r="G10" i="5"/>
  <c r="G12" i="5" s="1"/>
  <c r="F18" i="5"/>
  <c r="F57" i="5"/>
  <c r="E20" i="5" s="1"/>
  <c r="E18" i="5" s="1"/>
  <c r="E17" i="5" s="1"/>
  <c r="H57" i="5"/>
  <c r="G20" i="5" s="1"/>
  <c r="H9" i="5"/>
  <c r="E13" i="5"/>
  <c r="E14" i="5" s="1"/>
  <c r="I55" i="5"/>
  <c r="I54" i="5"/>
  <c r="H5" i="5"/>
  <c r="H10" i="5" s="1"/>
  <c r="I49" i="5"/>
  <c r="I50" i="5"/>
  <c r="I51" i="5"/>
  <c r="I8" i="5"/>
  <c r="J61" i="5"/>
  <c r="I7" i="5"/>
  <c r="I4" i="5"/>
  <c r="J62" i="5" s="1"/>
  <c r="J56" i="5" s="1"/>
  <c r="H37" i="5"/>
  <c r="H36" i="5"/>
  <c r="H52" i="5" l="1"/>
  <c r="G19" i="5" s="1"/>
  <c r="G18" i="5" s="1"/>
  <c r="G17" i="5" s="1"/>
  <c r="I57" i="5"/>
  <c r="H20" i="5" s="1"/>
  <c r="F17" i="5"/>
  <c r="F21" i="5" s="1"/>
  <c r="G3" i="6" s="1"/>
  <c r="G6" i="6" s="1"/>
  <c r="E21" i="5"/>
  <c r="F3" i="6" s="1"/>
  <c r="F6" i="6" s="1"/>
  <c r="I9" i="5"/>
  <c r="I52" i="5"/>
  <c r="H19" i="5" s="1"/>
  <c r="I5" i="5"/>
  <c r="H12" i="5"/>
  <c r="J50" i="5"/>
  <c r="J49" i="5"/>
  <c r="J51" i="5"/>
  <c r="G13" i="5"/>
  <c r="G14" i="5" s="1"/>
  <c r="J55" i="5"/>
  <c r="J54" i="5"/>
  <c r="H38" i="5"/>
  <c r="I35" i="5" s="1"/>
  <c r="I36" i="5" s="1"/>
  <c r="H18" i="5" l="1"/>
  <c r="H17" i="5" s="1"/>
  <c r="I10" i="5"/>
  <c r="I12" i="5" s="1"/>
  <c r="I13" i="5" s="1"/>
  <c r="I14" i="5" s="1"/>
  <c r="J57" i="5"/>
  <c r="I20" i="5" s="1"/>
  <c r="G21" i="5"/>
  <c r="H3" i="6" s="1"/>
  <c r="H6" i="6" s="1"/>
  <c r="J52" i="5"/>
  <c r="I19" i="5" s="1"/>
  <c r="H13" i="5"/>
  <c r="H14" i="5" s="1"/>
  <c r="I37" i="5"/>
  <c r="I38" i="5" s="1"/>
  <c r="H21" i="5" l="1"/>
  <c r="I3" i="6" s="1"/>
  <c r="I6" i="6" s="1"/>
  <c r="I18" i="5"/>
  <c r="I17" i="5" s="1"/>
  <c r="I21" i="5" s="1"/>
  <c r="J3" i="6" s="1"/>
  <c r="J6" i="6" l="1"/>
  <c r="B9" i="6" s="1"/>
  <c r="B12" i="6"/>
  <c r="B13" i="6" s="1"/>
  <c r="B14" i="6" l="1"/>
  <c r="B18" i="6" s="1"/>
  <c r="B20" i="6" s="1"/>
  <c r="E1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Anival</author>
  </authors>
  <commentList>
    <comment ref="A1" authorId="0" shapeId="0" xr:uid="{93C643A9-21CE-447A-97AF-7760947F4069}">
      <text>
        <r>
          <rPr>
            <b/>
            <sz val="9"/>
            <color indexed="81"/>
            <rFont val="Tahoma"/>
            <family val="2"/>
          </rPr>
          <t>Anival:</t>
        </r>
        <r>
          <rPr>
            <sz val="9"/>
            <color indexed="81"/>
            <rFont val="Tahoma"/>
            <family val="2"/>
          </rPr>
          <t xml:space="preserve">
shares in Thousands, $ in Millions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Anival</author>
  </authors>
  <commentList>
    <comment ref="B3" authorId="0" shapeId="0" xr:uid="{77CB65D6-1E2F-42DE-AE5F-672306A3AF3B}">
      <text>
        <r>
          <rPr>
            <sz val="11"/>
            <color theme="1"/>
            <rFont val="Aptos Narrow"/>
            <family val="2"/>
            <scheme val="minor"/>
          </rPr>
          <t>======
ID#AAAAccCPVgU
kenji    (2022-07-02 07:51:37)
Source: Bloomberg</t>
        </r>
      </text>
    </comment>
    <comment ref="B6" authorId="1" shapeId="0" xr:uid="{66C7277D-7DC4-4C8E-A1FB-5728181AA18C}">
      <text>
        <r>
          <rPr>
            <b/>
            <sz val="9"/>
            <color indexed="81"/>
            <rFont val="Tahoma"/>
            <family val="2"/>
          </rPr>
          <t>Anival:</t>
        </r>
        <r>
          <rPr>
            <sz val="9"/>
            <color indexed="81"/>
            <rFont val="Tahoma"/>
            <family val="2"/>
          </rPr>
          <t xml:space="preserve">
2019-2022 ( historic)
Interest Expense/Debt</t>
        </r>
      </text>
    </comment>
    <comment ref="B7" authorId="0" shapeId="0" xr:uid="{CCEA0DFC-497F-4AD8-881B-B60DB9E94638}">
      <text>
        <r>
          <rPr>
            <sz val="11"/>
            <color theme="1"/>
            <rFont val="Aptos Narrow"/>
            <family val="2"/>
            <scheme val="minor"/>
          </rPr>
          <t>======
ID#AAAAccCPVgk
kenji    (2022-07-02 07:51:37)
US Corporate Tax Rate</t>
        </r>
      </text>
    </comment>
    <comment ref="B11" authorId="0" shapeId="0" xr:uid="{2ED387E2-EA78-40E7-90DF-2F72AA27E7C6}">
      <text>
        <r>
          <rPr>
            <sz val="11"/>
            <color theme="1"/>
            <rFont val="Aptos Narrow"/>
            <family val="2"/>
            <scheme val="minor"/>
          </rPr>
          <t xml:space="preserve">======
https://fred.stlouisfed.org/series/DGS10
Source: Federal Reserve
</t>
        </r>
      </text>
    </comment>
    <comment ref="B12" authorId="0" shapeId="0" xr:uid="{1BD68607-D92B-403B-B4EB-D3CC4558856D}">
      <text>
        <r>
          <rPr>
            <sz val="11"/>
            <color theme="1"/>
            <rFont val="Aptos Narrow"/>
            <family val="2"/>
            <scheme val="minor"/>
          </rPr>
          <t>======
S&amp;P500 5 años
Source: S&amp;P Global</t>
        </r>
      </text>
    </comment>
    <comment ref="B14" authorId="0" shapeId="0" xr:uid="{083AA102-1EB4-449D-9427-7BEDF1B603B1}">
      <text>
        <r>
          <rPr>
            <sz val="11"/>
            <color theme="1"/>
            <rFont val="Aptos Narrow"/>
            <family val="2"/>
            <scheme val="minor"/>
          </rPr>
          <t>======
5 años al mes 
Source: Yahoo Finances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9" authorId="0" shapeId="0" xr:uid="{A8E072DF-4CE4-4737-B39A-30A07BFE0878}">
      <text>
        <r>
          <rPr>
            <sz val="11"/>
            <color theme="1"/>
            <rFont val="Aptos Narrow"/>
            <family val="2"/>
            <scheme val="minor"/>
          </rPr>
          <t>======
ID#AAAAccCPVgg
kenji    (2022-07-02 07:51:37)
Source: Company 10k filing</t>
        </r>
      </text>
    </comment>
  </commentList>
</comments>
</file>

<file path=xl/sharedStrings.xml><?xml version="1.0" encoding="utf-8"?>
<sst xmlns="http://schemas.openxmlformats.org/spreadsheetml/2006/main" count="213" uniqueCount="167">
  <si>
    <t>CONSOLIDATED STATEMENTS OF OPERATIONS - USD ($)</t>
  </si>
  <si>
    <t>shares in Thousands, $ in Millions</t>
  </si>
  <si>
    <t>12 Months Ended</t>
  </si>
  <si>
    <t>Sep. 27, 2025</t>
  </si>
  <si>
    <t>Sep. 28, 2024</t>
  </si>
  <si>
    <t>Sep. 30, 2023</t>
  </si>
  <si>
    <t>Net sales</t>
  </si>
  <si>
    <t>Cost of sales</t>
  </si>
  <si>
    <t>Gross margin</t>
  </si>
  <si>
    <t>Operating expenses:</t>
  </si>
  <si>
    <t>Research and development</t>
  </si>
  <si>
    <t>Selling, general and administrative</t>
  </si>
  <si>
    <t>Total operating expenses</t>
  </si>
  <si>
    <t>Operating income</t>
  </si>
  <si>
    <t>Other income/(expense), net</t>
  </si>
  <si>
    <t>Income before provision for income taxes</t>
  </si>
  <si>
    <t>Provision for income taxes</t>
  </si>
  <si>
    <t>Net income</t>
  </si>
  <si>
    <t>Earnings per share:</t>
  </si>
  <si>
    <t>Basic (in dollars per share)</t>
  </si>
  <si>
    <t>Diluted (in dollars per share)</t>
  </si>
  <si>
    <t>Shares used in computing earnings per share:</t>
  </si>
  <si>
    <t>Basic (in shares)</t>
  </si>
  <si>
    <t>Diluted (in shares)</t>
  </si>
  <si>
    <t>Products</t>
  </si>
  <si>
    <t>Services</t>
  </si>
  <si>
    <t>CONSOLIDATED BALANCE SHEETS - USD ($)</t>
  </si>
  <si>
    <t>Current assets:</t>
  </si>
  <si>
    <t>Cash and cash equivalents</t>
  </si>
  <si>
    <t>Marketable securities</t>
  </si>
  <si>
    <t>Accounts receivable, net</t>
  </si>
  <si>
    <t>Vendor non-trade receivables</t>
  </si>
  <si>
    <t>Inventories</t>
  </si>
  <si>
    <t>Other current assets</t>
  </si>
  <si>
    <t>Total current assets</t>
  </si>
  <si>
    <t>Non-current assets:</t>
  </si>
  <si>
    <t>Property, plant and equipment, net</t>
  </si>
  <si>
    <t>Other non-current assets</t>
  </si>
  <si>
    <t>Total non-current assets</t>
  </si>
  <si>
    <t>Total assets</t>
  </si>
  <si>
    <t>Current liabilities:</t>
  </si>
  <si>
    <t>Accounts payable</t>
  </si>
  <si>
    <t>Other current liabilities</t>
  </si>
  <si>
    <t>Deferred revenue</t>
  </si>
  <si>
    <t>Commercial paper</t>
  </si>
  <si>
    <t>Term debt</t>
  </si>
  <si>
    <t>Total current liabilities</t>
  </si>
  <si>
    <t>Non-current liabilities:</t>
  </si>
  <si>
    <t>Other non-current liabilities</t>
  </si>
  <si>
    <t>Total non-current liabilities</t>
  </si>
  <si>
    <t>Total liabilities</t>
  </si>
  <si>
    <t>Commitments and contingencies</t>
  </si>
  <si>
    <t>Common stock, shares outstanding (in shares)</t>
  </si>
  <si>
    <t>Common stock, shares issued (in shares)</t>
  </si>
  <si>
    <t>Shareholders’ equity:</t>
  </si>
  <si>
    <t>Common stock and additional paid-in capital, $0.00001 par value: 50,400,000 shares authorized; 14,773,260 and 15,116,786 shares issued and outstanding, respectively</t>
  </si>
  <si>
    <t>Accumulated deficit</t>
  </si>
  <si>
    <t>Accumulated other comprehensive loss</t>
  </si>
  <si>
    <t>Total shareholders’ equity</t>
  </si>
  <si>
    <t>Total liabilities and shareholders’ equity</t>
  </si>
  <si>
    <t>CONSOLIDATED STATEMENTS OF CASH FLOWS - USD ($)</t>
  </si>
  <si>
    <t>$ in Millions</t>
  </si>
  <si>
    <t>Statement of Cash Flows [Abstract]</t>
  </si>
  <si>
    <t>Cash, cash equivalents, and restricted cash and cash equivalents, beginning balances</t>
  </si>
  <si>
    <t>Operating activities:</t>
  </si>
  <si>
    <t>Adjustments to reconcile net income to cash generated by operating activities:</t>
  </si>
  <si>
    <t>Depreciation and amortization</t>
  </si>
  <si>
    <t>Share-based compensation expense</t>
  </si>
  <si>
    <t>Other</t>
  </si>
  <si>
    <t>Changes in operating assets and liabilities:</t>
  </si>
  <si>
    <t>Other current and non-current assets</t>
  </si>
  <si>
    <t>Other current and non-current liabilities</t>
  </si>
  <si>
    <t>Cash generated by operating activities</t>
  </si>
  <si>
    <t>Investing activities:</t>
  </si>
  <si>
    <t>Purchases of marketable securities</t>
  </si>
  <si>
    <t>Proceeds from maturities of marketable securities</t>
  </si>
  <si>
    <t>Proceeds from sales of marketable securities</t>
  </si>
  <si>
    <t>Payments for acquisition of property, plant and equipment</t>
  </si>
  <si>
    <t>Cash generated by investing activities</t>
  </si>
  <si>
    <t>Financing activities:</t>
  </si>
  <si>
    <t>Payments for taxes related to net share settlement of equity awards</t>
  </si>
  <si>
    <t>Payments for dividends and dividend equivalents</t>
  </si>
  <si>
    <t>Repurchases of common stock</t>
  </si>
  <si>
    <t>Proceeds from issuance of term debt, net</t>
  </si>
  <si>
    <t>Repayments of term debt</t>
  </si>
  <si>
    <t>Proceeds from/(Repayments of) commercial paper, net</t>
  </si>
  <si>
    <t>Cash used in financing activities</t>
  </si>
  <si>
    <t>Increase/(Decrease) in cash, cash equivalents, and restricted cash and cash equivalents</t>
  </si>
  <si>
    <t>Cash, cash equivalents, and restricted cash and cash equivalents, ending balances</t>
  </si>
  <si>
    <t>Supplemental cash flow disclosure:</t>
  </si>
  <si>
    <t>Cash paid for income taxes, net</t>
  </si>
  <si>
    <t>Unlevered Free Cash Flow (mm)</t>
  </si>
  <si>
    <t>Fiscal Year</t>
  </si>
  <si>
    <t>Revenue</t>
  </si>
  <si>
    <t>COGS</t>
  </si>
  <si>
    <t>Gross Profit</t>
  </si>
  <si>
    <t>Operating Expenses</t>
  </si>
  <si>
    <t>Selling, General, Administrative</t>
  </si>
  <si>
    <t>Total Operating Expenses</t>
  </si>
  <si>
    <t>EBITDA</t>
  </si>
  <si>
    <t>Depreciation &amp; Amortization</t>
  </si>
  <si>
    <t>Operating Profit (EBIT)</t>
  </si>
  <si>
    <t>Operating Taxes</t>
  </si>
  <si>
    <t>NOPAT (Net Operating Profit After Taxes)</t>
  </si>
  <si>
    <t>(+) Depreciation &amp; Amortization</t>
  </si>
  <si>
    <t>(-) Capital Expenditures</t>
  </si>
  <si>
    <t>(-) Change in NWC</t>
  </si>
  <si>
    <t>NWC</t>
  </si>
  <si>
    <t>Current Assets</t>
  </si>
  <si>
    <t>Current Liabilitites</t>
  </si>
  <si>
    <t>Unlevered Free Cash Flow</t>
  </si>
  <si>
    <t>Assumptions</t>
  </si>
  <si>
    <t>Revenue Growth</t>
  </si>
  <si>
    <t>COGS % of Revenue</t>
  </si>
  <si>
    <t>SG&amp;A % of Revenue</t>
  </si>
  <si>
    <t>Tax % of EBIT</t>
  </si>
  <si>
    <t>Fixed Assets Schedule</t>
  </si>
  <si>
    <t>Beginning PP&amp;E</t>
  </si>
  <si>
    <t>D&amp;A</t>
  </si>
  <si>
    <t>CapEx</t>
  </si>
  <si>
    <t>Ending PP&amp;E</t>
  </si>
  <si>
    <t>D&amp;A as a % of Beginning PP&amp;E</t>
  </si>
  <si>
    <t>CapEx as a % of Beginning PP&amp;E</t>
  </si>
  <si>
    <t>Net Working Capital</t>
  </si>
  <si>
    <t>Current Liabilities</t>
  </si>
  <si>
    <t>Days Sales Outstanding (DSO)</t>
  </si>
  <si>
    <t>Days Inventory Outstanding (DIO)</t>
  </si>
  <si>
    <t>Days Payable Outstanding (DPO)</t>
  </si>
  <si>
    <t>Other Current Assets as a % of Revenue</t>
  </si>
  <si>
    <t>Other Current Liabilities as a % of Revenue</t>
  </si>
  <si>
    <t>2022A</t>
  </si>
  <si>
    <t>CAGR ( 5 años)</t>
  </si>
  <si>
    <t>Deferred revenue as a % of Revenue</t>
  </si>
  <si>
    <t>Projection Year</t>
  </si>
  <si>
    <t>Present Value of Free Cash Flow</t>
  </si>
  <si>
    <t>Implied Share Price Calculation</t>
  </si>
  <si>
    <t>Sensitivity Table</t>
  </si>
  <si>
    <t>Sum of PV of FCF</t>
  </si>
  <si>
    <t>Growth Rate</t>
  </si>
  <si>
    <t>WACC</t>
  </si>
  <si>
    <t>Terminal Value</t>
  </si>
  <si>
    <t>PV of Terminal Value</t>
  </si>
  <si>
    <t>Enterprise Value</t>
  </si>
  <si>
    <t>(+) Cash</t>
  </si>
  <si>
    <t>(-) Debt</t>
  </si>
  <si>
    <t>(-) Minority Interest</t>
  </si>
  <si>
    <t>Equity Value</t>
  </si>
  <si>
    <t>Implied Share Price</t>
  </si>
  <si>
    <t>Weighted Average Cost of Capital (WACC)</t>
  </si>
  <si>
    <t>Equity (mm)</t>
  </si>
  <si>
    <t>Debt (mm)</t>
  </si>
  <si>
    <t>Cost of Debt</t>
  </si>
  <si>
    <t>Tax Rate</t>
  </si>
  <si>
    <t>D/(D+E)</t>
  </si>
  <si>
    <t>After Tax Cost of Debt</t>
  </si>
  <si>
    <t>Risk Free Rate (10-Yr Treasury Yield)</t>
  </si>
  <si>
    <t>Expected Market Return</t>
  </si>
  <si>
    <t>Market Risk Premium</t>
  </si>
  <si>
    <t>Levered Beta</t>
  </si>
  <si>
    <t>E/(D+E)</t>
  </si>
  <si>
    <t>Cost of Equity</t>
  </si>
  <si>
    <t xml:space="preserve">Diluted Shares Outstanding </t>
  </si>
  <si>
    <t>Considerando el siguiente rango</t>
  </si>
  <si>
    <t>Good Scenary</t>
  </si>
  <si>
    <t>Historic growth ( 5y)</t>
  </si>
  <si>
    <t>JUSTIFICION</t>
  </si>
  <si>
    <t>Dado que Apple Inc. es una compañía relativamente madura, con una base de ingresos diversificada y estable, se tomó como punto de partida el crecimiento histórico de los años anteriores para la proyección de ingresos. Este enfoque permite anclar las estimaciones en el desempeño observado y evitar supuestos excesivamente optimistas.
No obstante, se considera un crecimiento moderadamente superior al histórico debido a factores estratégicos específicos de la compañía. En particular, Apple ha venido ejecutando una estrategia de relocalización y expansión de su capacidad productiva en India, así como un incremento progresivo de su participación en mercados asiáticos, lo que amplía su base de consumidores y reduce riesgos operativos.
Adicionalmente, la fortaleza de su ecosistema, la elevada lealtad de sus clientes y el posicionamiento de marca ,especialmente en su línea iPhone, le otorgan un significativo poder de fijación de precios. A ello se suma la contribución creciente de segmentos de mayor margen, como servicios, lo que respalda la sostenibilidad de sus márgenes operativos.
En conjunto, estos factores justifican la adopción de una tasa de crecimiento anual de ingresos del 4.5% para los próximos años, la cual se mantiene dentro de un rango razonable para una empresa madura y es consistente con su ventaja competitiva y su capacidad de generación de valor en el mediano plazo.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</si>
</sst>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164" formatCode="yyyy\A"/>
    <numFmt numFmtId="165" formatCode="yyyy\E"/>
    <numFmt numFmtId="166" formatCode="#,##0_);\(#,##0\);\-\-_)"/>
    <numFmt numFmtId="167" formatCode="0.0%"/>
    <numFmt numFmtId="168" formatCode="0.0"/>
    <numFmt numFmtId="169" formatCode="0.000%"/>
  </numFmts>
  <fonts count="23" x14ac:knownFonts="1">
    <font>
      <sz val="11"/>
      <color theme="1"/>
      <name val="Aptos Narrow"/>
      <family val="2"/>
      <scheme val="minor"/>
    </font>
    <font>
      <sz val="11"/>
      <color theme="1"/>
      <name val="Aptos Narrow"/>
      <family val="2"/>
      <scheme val="minor"/>
    </font>
    <font>
      <b/>
      <sz val="8"/>
      <color rgb="FF000000"/>
      <name val="Arial"/>
      <family val="2"/>
    </font>
    <font>
      <sz val="8"/>
      <color rgb="FF000000"/>
      <name val="Arial"/>
      <family val="2"/>
    </font>
    <font>
      <b/>
      <sz val="10"/>
      <color rgb="FF000000"/>
      <name val="Arial"/>
      <family val="2"/>
    </font>
    <font>
      <sz val="10"/>
      <color rgb="FF000000"/>
      <name val="Arial"/>
      <family val="2"/>
    </font>
    <font>
      <sz val="9"/>
      <color indexed="81"/>
      <name val="Tahoma"/>
      <family val="2"/>
    </font>
    <font>
      <b/>
      <sz val="9"/>
      <color indexed="81"/>
      <name val="Tahoma"/>
      <family val="2"/>
    </font>
    <font>
      <sz val="11"/>
      <color theme="1"/>
      <name val="Calibri"/>
      <family val="2"/>
    </font>
    <font>
      <b/>
      <sz val="11"/>
      <color theme="1"/>
      <name val="Calibri"/>
      <family val="2"/>
    </font>
    <font>
      <sz val="11"/>
      <color theme="0"/>
      <name val="Calibri"/>
      <family val="2"/>
    </font>
    <font>
      <sz val="11"/>
      <name val="Calibri"/>
      <family val="2"/>
    </font>
    <font>
      <sz val="11"/>
      <color rgb="FF0000FF"/>
      <name val="Calibri"/>
      <family val="2"/>
    </font>
    <font>
      <sz val="10"/>
      <color theme="1"/>
      <name val="Aptos Narrow"/>
      <family val="2"/>
      <scheme val="minor"/>
    </font>
    <font>
      <b/>
      <sz val="11"/>
      <color rgb="FF000000"/>
      <name val="Arial"/>
      <family val="2"/>
    </font>
    <font>
      <sz val="11"/>
      <color rgb="FF000000"/>
      <name val="Arial"/>
      <family val="2"/>
    </font>
    <font>
      <b/>
      <sz val="11"/>
      <color rgb="FF000000"/>
      <name val="Amasis MT Pro Light"/>
      <family val="1"/>
    </font>
    <font>
      <sz val="11"/>
      <color rgb="FF000000"/>
      <name val="Amasis MT Pro Light"/>
      <family val="1"/>
    </font>
    <font>
      <sz val="11"/>
      <color theme="1"/>
      <name val="Amasis MT Pro Light"/>
      <family val="1"/>
    </font>
    <font>
      <sz val="11"/>
      <name val="Aptos Narrow"/>
      <family val="2"/>
      <scheme val="minor"/>
    </font>
    <font>
      <sz val="10"/>
      <name val="Arial"/>
      <family val="2"/>
    </font>
    <font>
      <b/>
      <sz val="10"/>
      <name val="Arial"/>
      <family val="2"/>
    </font>
    <font>
      <b/>
      <sz val="11"/>
      <color theme="0"/>
      <name val="Calibri"/>
      <family val="2"/>
    </font>
  </fonts>
  <fills count="10">
    <fill>
      <patternFill patternType="none"/>
    </fill>
    <fill>
      <patternFill patternType="gray125"/>
    </fill>
    <fill>
      <patternFill patternType="solid">
        <fgColor rgb="FFFFFFFF"/>
        <bgColor indexed="64"/>
      </patternFill>
    </fill>
    <fill>
      <patternFill patternType="solid">
        <fgColor rgb="FFAACCFF"/>
        <bgColor indexed="64"/>
      </patternFill>
    </fill>
    <fill>
      <patternFill patternType="solid">
        <fgColor rgb="FFDDEEFF"/>
        <bgColor indexed="64"/>
      </patternFill>
    </fill>
    <fill>
      <patternFill patternType="solid">
        <fgColor rgb="FFD9E2F3"/>
        <bgColor rgb="FFD9E2F3"/>
      </patternFill>
    </fill>
    <fill>
      <patternFill patternType="solid">
        <fgColor rgb="FF2A3E68"/>
        <bgColor rgb="FF2A3E68"/>
      </patternFill>
    </fill>
    <fill>
      <patternFill patternType="solid">
        <fgColor rgb="FFFFFF99"/>
        <bgColor rgb="FFFFFF99"/>
      </patternFill>
    </fill>
    <fill>
      <patternFill patternType="solid">
        <fgColor rgb="FFE7E6E6"/>
        <bgColor rgb="FFE7E6E6"/>
      </patternFill>
    </fill>
    <fill>
      <patternFill patternType="solid">
        <fgColor theme="3"/>
        <bgColor indexed="64"/>
      </patternFill>
    </fill>
  </fills>
  <borders count="10">
    <border>
      <left/>
      <right/>
      <top/>
      <bottom/>
      <diagonal/>
    </border>
    <border>
      <left/>
      <right/>
      <top style="medium">
        <color rgb="FFAACCFF"/>
      </top>
      <bottom/>
      <diagonal/>
    </border>
    <border>
      <left/>
      <right style="medium">
        <color rgb="FFAACCFF"/>
      </right>
      <top style="medium">
        <color rgb="FFAACCFF"/>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0" fillId="2" borderId="1" xfId="0" applyFill="1" applyBorder="1" applyAlignment="1">
      <alignment vertical="top" wrapText="1"/>
    </xf>
    <xf numFmtId="3" fontId="0" fillId="0" borderId="0" xfId="0" applyNumberFormat="1"/>
    <xf numFmtId="0" fontId="4" fillId="3" borderId="3" xfId="0" applyFont="1" applyFill="1" applyBorder="1" applyAlignment="1">
      <alignment horizontal="center" vertical="center" wrapText="1"/>
    </xf>
    <xf numFmtId="6" fontId="5" fillId="4" borderId="3" xfId="0" applyNumberFormat="1" applyFont="1" applyFill="1" applyBorder="1" applyAlignment="1">
      <alignment horizontal="left" vertical="center" indent="2"/>
    </xf>
    <xf numFmtId="3" fontId="5" fillId="2" borderId="3" xfId="0" applyNumberFormat="1" applyFont="1" applyFill="1" applyBorder="1" applyAlignment="1">
      <alignment horizontal="left" vertical="center" indent="2"/>
    </xf>
    <xf numFmtId="3" fontId="5" fillId="4" borderId="3" xfId="0" applyNumberFormat="1" applyFont="1" applyFill="1" applyBorder="1" applyAlignment="1">
      <alignment horizontal="left" vertical="center" indent="2"/>
    </xf>
    <xf numFmtId="0" fontId="5" fillId="2" borderId="3" xfId="0" applyFont="1" applyFill="1" applyBorder="1" applyAlignment="1">
      <alignment horizontal="left" vertical="center" wrapText="1"/>
    </xf>
    <xf numFmtId="0" fontId="5" fillId="4" borderId="3" xfId="0" applyFont="1" applyFill="1" applyBorder="1" applyAlignment="1">
      <alignment horizontal="left" vertical="center"/>
    </xf>
    <xf numFmtId="6" fontId="5" fillId="2" borderId="3" xfId="0" applyNumberFormat="1" applyFont="1" applyFill="1" applyBorder="1" applyAlignment="1">
      <alignment horizontal="left" vertical="center" indent="2"/>
    </xf>
    <xf numFmtId="0" fontId="5" fillId="4" borderId="3" xfId="0" applyFont="1" applyFill="1" applyBorder="1" applyAlignment="1">
      <alignment horizontal="left" vertical="center" wrapText="1"/>
    </xf>
    <xf numFmtId="8" fontId="5" fillId="2" borderId="3" xfId="0" applyNumberFormat="1" applyFont="1" applyFill="1" applyBorder="1" applyAlignment="1">
      <alignment horizontal="left" vertical="center" indent="2"/>
    </xf>
    <xf numFmtId="8" fontId="5" fillId="4" borderId="3" xfId="0" applyNumberFormat="1" applyFont="1" applyFill="1" applyBorder="1" applyAlignment="1">
      <alignment horizontal="left" vertical="center" indent="2"/>
    </xf>
    <xf numFmtId="0" fontId="4" fillId="3" borderId="3" xfId="0" applyFont="1" applyFill="1" applyBorder="1" applyAlignment="1">
      <alignment horizontal="left" vertical="center" wrapText="1"/>
    </xf>
    <xf numFmtId="6" fontId="5" fillId="4" borderId="3" xfId="0" applyNumberFormat="1" applyFont="1" applyFill="1" applyBorder="1" applyAlignment="1">
      <alignment horizontal="center" vertical="center"/>
    </xf>
    <xf numFmtId="3" fontId="5" fillId="2" borderId="3" xfId="0" applyNumberFormat="1" applyFont="1" applyFill="1" applyBorder="1" applyAlignment="1">
      <alignment horizontal="center" vertical="center"/>
    </xf>
    <xf numFmtId="3" fontId="5" fillId="4" borderId="3" xfId="0" applyNumberFormat="1" applyFont="1" applyFill="1" applyBorder="1" applyAlignment="1">
      <alignment horizontal="center" vertical="center"/>
    </xf>
    <xf numFmtId="0" fontId="5" fillId="2" borderId="3" xfId="0" applyFont="1" applyFill="1" applyBorder="1" applyAlignment="1">
      <alignment horizontal="center" vertical="center" wrapText="1"/>
    </xf>
    <xf numFmtId="0" fontId="5" fillId="4" borderId="3" xfId="0" applyFont="1" applyFill="1" applyBorder="1" applyAlignment="1">
      <alignment horizontal="center" vertical="center"/>
    </xf>
    <xf numFmtId="6" fontId="5" fillId="2" borderId="3" xfId="0" applyNumberFormat="1" applyFont="1" applyFill="1" applyBorder="1" applyAlignment="1">
      <alignment horizontal="center" vertical="center"/>
    </xf>
    <xf numFmtId="0" fontId="5" fillId="4" borderId="3" xfId="0" applyFont="1" applyFill="1" applyBorder="1" applyAlignment="1">
      <alignment horizontal="center" vertical="center" wrapText="1"/>
    </xf>
    <xf numFmtId="8" fontId="5" fillId="2" borderId="3" xfId="0" applyNumberFormat="1" applyFont="1" applyFill="1" applyBorder="1" applyAlignment="1">
      <alignment horizontal="center" vertical="center"/>
    </xf>
    <xf numFmtId="8" fontId="5" fillId="4" borderId="3" xfId="0" applyNumberFormat="1" applyFont="1" applyFill="1" applyBorder="1" applyAlignment="1">
      <alignment horizontal="center" vertical="center"/>
    </xf>
    <xf numFmtId="0" fontId="0" fillId="0" borderId="0" xfId="0" applyAlignment="1">
      <alignment horizontal="center"/>
    </xf>
    <xf numFmtId="0" fontId="0" fillId="2" borderId="0" xfId="0" applyFill="1" applyAlignment="1">
      <alignment horizontal="center" vertical="top" wrapText="1"/>
    </xf>
    <xf numFmtId="3" fontId="3" fillId="2" borderId="3" xfId="0" applyNumberFormat="1" applyFont="1" applyFill="1" applyBorder="1" applyAlignment="1">
      <alignment horizontal="center" vertical="center"/>
    </xf>
    <xf numFmtId="0" fontId="8" fillId="0" borderId="0" xfId="0" applyFont="1"/>
    <xf numFmtId="0" fontId="10" fillId="6" borderId="0" xfId="0" applyFont="1" applyFill="1"/>
    <xf numFmtId="0" fontId="8" fillId="5" borderId="4" xfId="0" applyFont="1" applyFill="1" applyBorder="1"/>
    <xf numFmtId="164" fontId="8" fillId="5" borderId="4" xfId="0" applyNumberFormat="1" applyFont="1" applyFill="1" applyBorder="1"/>
    <xf numFmtId="165" fontId="8" fillId="5" borderId="4" xfId="0" applyNumberFormat="1" applyFont="1" applyFill="1" applyBorder="1"/>
    <xf numFmtId="166" fontId="8" fillId="0" borderId="0" xfId="0" applyNumberFormat="1" applyFont="1"/>
    <xf numFmtId="0" fontId="8" fillId="0" borderId="4" xfId="0" applyFont="1" applyBorder="1"/>
    <xf numFmtId="166" fontId="8" fillId="0" borderId="4" xfId="0" applyNumberFormat="1" applyFont="1" applyBorder="1"/>
    <xf numFmtId="0" fontId="9" fillId="0" borderId="0" xfId="0" applyFont="1"/>
    <xf numFmtId="166" fontId="9" fillId="0" borderId="0" xfId="0" applyNumberFormat="1" applyFont="1"/>
    <xf numFmtId="0" fontId="8" fillId="0" borderId="0" xfId="0" applyFont="1" applyAlignment="1">
      <alignment horizontal="left"/>
    </xf>
    <xf numFmtId="0" fontId="9" fillId="7" borderId="5" xfId="0" applyFont="1" applyFill="1" applyBorder="1"/>
    <xf numFmtId="166" fontId="9" fillId="7" borderId="5" xfId="0" applyNumberFormat="1" applyFont="1" applyFill="1" applyBorder="1"/>
    <xf numFmtId="0" fontId="8" fillId="8" borderId="0" xfId="0" applyFont="1" applyFill="1"/>
    <xf numFmtId="167" fontId="8" fillId="8" borderId="0" xfId="0" applyNumberFormat="1" applyFont="1" applyFill="1"/>
    <xf numFmtId="3" fontId="8" fillId="0" borderId="0" xfId="0" applyNumberFormat="1" applyFont="1" applyAlignment="1">
      <alignment horizontal="center" vertical="center"/>
    </xf>
    <xf numFmtId="3" fontId="8" fillId="0" borderId="0" xfId="0" applyNumberFormat="1" applyFont="1" applyAlignment="1">
      <alignment horizontal="right" vertical="center"/>
    </xf>
    <xf numFmtId="0" fontId="4" fillId="4" borderId="3" xfId="0" applyFont="1" applyFill="1" applyBorder="1" applyAlignment="1">
      <alignment vertical="center" wrapText="1"/>
    </xf>
    <xf numFmtId="0" fontId="4" fillId="4" borderId="3" xfId="0" applyFont="1" applyFill="1" applyBorder="1" applyAlignment="1">
      <alignment horizontal="center" vertical="center" wrapText="1"/>
    </xf>
    <xf numFmtId="6" fontId="5" fillId="2" borderId="3" xfId="0" applyNumberFormat="1" applyFont="1" applyFill="1" applyBorder="1" applyAlignment="1">
      <alignment vertical="center"/>
    </xf>
    <xf numFmtId="3" fontId="5" fillId="4" borderId="3" xfId="0" applyNumberFormat="1" applyFont="1" applyFill="1" applyBorder="1" applyAlignment="1">
      <alignment vertical="center"/>
    </xf>
    <xf numFmtId="3" fontId="5" fillId="2" borderId="3" xfId="0" applyNumberFormat="1" applyFont="1" applyFill="1" applyBorder="1" applyAlignment="1">
      <alignment vertical="center"/>
    </xf>
    <xf numFmtId="0" fontId="4" fillId="2" borderId="3" xfId="0" applyFont="1" applyFill="1" applyBorder="1" applyAlignment="1">
      <alignment vertical="center" wrapText="1"/>
    </xf>
    <xf numFmtId="0" fontId="4" fillId="2" borderId="3" xfId="0" applyFont="1" applyFill="1" applyBorder="1" applyAlignment="1">
      <alignment horizontal="center" vertical="center" wrapText="1"/>
    </xf>
    <xf numFmtId="0" fontId="5" fillId="4" borderId="3" xfId="0" applyFont="1" applyFill="1" applyBorder="1" applyAlignment="1">
      <alignment vertical="center" wrapText="1"/>
    </xf>
    <xf numFmtId="6" fontId="5" fillId="4" borderId="3" xfId="0" applyNumberFormat="1" applyFont="1" applyFill="1" applyBorder="1" applyAlignment="1">
      <alignment vertical="center"/>
    </xf>
    <xf numFmtId="0" fontId="13" fillId="2" borderId="0" xfId="0" applyFont="1" applyFill="1" applyAlignment="1">
      <alignment vertical="top" wrapText="1"/>
    </xf>
    <xf numFmtId="0" fontId="13" fillId="2" borderId="0" xfId="0" applyFont="1" applyFill="1" applyAlignment="1">
      <alignment horizontal="center" vertical="top" wrapText="1"/>
    </xf>
    <xf numFmtId="0" fontId="13" fillId="0" borderId="0" xfId="0" applyFont="1"/>
    <xf numFmtId="0" fontId="13" fillId="0" borderId="0" xfId="0" applyFont="1" applyAlignment="1">
      <alignment horizontal="center"/>
    </xf>
    <xf numFmtId="0" fontId="2" fillId="3" borderId="2" xfId="0" applyFont="1" applyFill="1" applyBorder="1" applyAlignment="1">
      <alignment vertical="center" wrapText="1"/>
    </xf>
    <xf numFmtId="0" fontId="14" fillId="3" borderId="3" xfId="0" applyFont="1" applyFill="1" applyBorder="1" applyAlignment="1">
      <alignment horizontal="center" vertical="center" wrapText="1"/>
    </xf>
    <xf numFmtId="0" fontId="15" fillId="4" borderId="3" xfId="0" applyFont="1" applyFill="1" applyBorder="1" applyAlignment="1">
      <alignment horizontal="center" vertical="center" wrapText="1"/>
    </xf>
    <xf numFmtId="6" fontId="15" fillId="2" borderId="3" xfId="0" applyNumberFormat="1" applyFont="1" applyFill="1" applyBorder="1" applyAlignment="1">
      <alignment horizontal="center" vertical="center"/>
    </xf>
    <xf numFmtId="3" fontId="15" fillId="2" borderId="3" xfId="0" applyNumberFormat="1" applyFont="1" applyFill="1" applyBorder="1" applyAlignment="1">
      <alignment horizontal="center" vertical="center"/>
    </xf>
    <xf numFmtId="3" fontId="15" fillId="4" borderId="3" xfId="0" applyNumberFormat="1" applyFont="1" applyFill="1" applyBorder="1" applyAlignment="1">
      <alignment horizontal="center" vertical="center"/>
    </xf>
    <xf numFmtId="0" fontId="15" fillId="2" borderId="3" xfId="0" applyFont="1" applyFill="1" applyBorder="1" applyAlignment="1">
      <alignment horizontal="center" vertical="center"/>
    </xf>
    <xf numFmtId="0" fontId="15" fillId="4" borderId="3" xfId="0" applyFont="1" applyFill="1" applyBorder="1" applyAlignment="1">
      <alignment horizontal="center" vertical="center"/>
    </xf>
    <xf numFmtId="0" fontId="14" fillId="4" borderId="3"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7" fillId="4" borderId="3" xfId="0" applyFont="1" applyFill="1" applyBorder="1" applyAlignment="1">
      <alignment vertical="center" wrapText="1"/>
    </xf>
    <xf numFmtId="6" fontId="17" fillId="2" borderId="3" xfId="0" applyNumberFormat="1" applyFont="1" applyFill="1" applyBorder="1" applyAlignment="1">
      <alignment vertical="center"/>
    </xf>
    <xf numFmtId="3" fontId="17" fillId="2" borderId="3" xfId="0" applyNumberFormat="1" applyFont="1" applyFill="1" applyBorder="1" applyAlignment="1">
      <alignment vertical="center"/>
    </xf>
    <xf numFmtId="3" fontId="17" fillId="4" borderId="3" xfId="0" applyNumberFormat="1" applyFont="1" applyFill="1" applyBorder="1" applyAlignment="1">
      <alignment vertical="center"/>
    </xf>
    <xf numFmtId="0" fontId="17" fillId="2" borderId="3" xfId="0" applyFont="1" applyFill="1" applyBorder="1" applyAlignment="1">
      <alignment vertical="center"/>
    </xf>
    <xf numFmtId="0" fontId="17" fillId="4" borderId="3" xfId="0" applyFont="1" applyFill="1" applyBorder="1" applyAlignment="1">
      <alignment vertical="center"/>
    </xf>
    <xf numFmtId="0" fontId="16" fillId="4" borderId="3" xfId="0" applyFont="1" applyFill="1" applyBorder="1" applyAlignment="1">
      <alignment vertical="center" wrapText="1"/>
    </xf>
    <xf numFmtId="0" fontId="16" fillId="2" borderId="3" xfId="0" applyFont="1" applyFill="1" applyBorder="1" applyAlignment="1">
      <alignment vertical="center" wrapText="1"/>
    </xf>
    <xf numFmtId="0" fontId="18" fillId="0" borderId="0" xfId="0" applyFont="1"/>
    <xf numFmtId="0" fontId="1" fillId="0" borderId="0" xfId="0" applyFont="1"/>
    <xf numFmtId="3" fontId="8" fillId="0" borderId="0" xfId="0" applyNumberFormat="1" applyFont="1"/>
    <xf numFmtId="0" fontId="9" fillId="0" borderId="5" xfId="0" applyFont="1" applyBorder="1"/>
    <xf numFmtId="3" fontId="9" fillId="0" borderId="5" xfId="0" applyNumberFormat="1" applyFont="1" applyBorder="1"/>
    <xf numFmtId="167" fontId="8" fillId="0" borderId="0" xfId="0" applyNumberFormat="1" applyFont="1"/>
    <xf numFmtId="4" fontId="8" fillId="0" borderId="0" xfId="0" applyNumberFormat="1" applyFont="1"/>
    <xf numFmtId="0" fontId="8" fillId="0" borderId="5" xfId="0" applyFont="1" applyBorder="1"/>
    <xf numFmtId="3" fontId="8" fillId="0" borderId="5" xfId="0" applyNumberFormat="1" applyFont="1" applyBorder="1"/>
    <xf numFmtId="4" fontId="9" fillId="7" borderId="5" xfId="0" applyNumberFormat="1" applyFont="1" applyFill="1" applyBorder="1"/>
    <xf numFmtId="3" fontId="12" fillId="0" borderId="0" xfId="0" applyNumberFormat="1" applyFont="1"/>
    <xf numFmtId="3" fontId="8" fillId="8" borderId="0" xfId="0" applyNumberFormat="1" applyFont="1" applyFill="1"/>
    <xf numFmtId="168" fontId="8" fillId="8" borderId="0" xfId="0" applyNumberFormat="1" applyFont="1" applyFill="1"/>
    <xf numFmtId="164" fontId="8" fillId="5" borderId="4" xfId="0" applyNumberFormat="1" applyFont="1" applyFill="1" applyBorder="1" applyAlignment="1">
      <alignment horizontal="center" vertical="center"/>
    </xf>
    <xf numFmtId="0" fontId="19" fillId="0" borderId="0" xfId="0" applyFont="1"/>
    <xf numFmtId="164" fontId="11" fillId="0" borderId="4" xfId="0" applyNumberFormat="1" applyFont="1" applyBorder="1" applyAlignment="1">
      <alignment horizontal="center" vertical="center"/>
    </xf>
    <xf numFmtId="3" fontId="20" fillId="0" borderId="3" xfId="0" applyNumberFormat="1" applyFont="1" applyBorder="1" applyAlignment="1">
      <alignment vertical="center"/>
    </xf>
    <xf numFmtId="3" fontId="20" fillId="0" borderId="3" xfId="0" applyNumberFormat="1" applyFont="1" applyBorder="1" applyAlignment="1">
      <alignment horizontal="center" vertical="center"/>
    </xf>
    <xf numFmtId="3" fontId="21" fillId="0" borderId="3" xfId="0" applyNumberFormat="1" applyFont="1" applyBorder="1" applyAlignment="1">
      <alignment vertical="center"/>
    </xf>
    <xf numFmtId="167" fontId="8" fillId="8" borderId="8" xfId="0" applyNumberFormat="1" applyFont="1" applyFill="1" applyBorder="1"/>
    <xf numFmtId="166" fontId="8" fillId="0" borderId="0" xfId="0" applyNumberFormat="1" applyFont="1" applyAlignment="1">
      <alignment horizontal="center" vertical="center"/>
    </xf>
    <xf numFmtId="1" fontId="0" fillId="0" borderId="0" xfId="0" applyNumberFormat="1" applyAlignment="1">
      <alignment horizontal="center" vertical="center"/>
    </xf>
    <xf numFmtId="3" fontId="9" fillId="0" borderId="5" xfId="0" applyNumberFormat="1" applyFont="1" applyBorder="1" applyAlignment="1">
      <alignment horizontal="center" vertical="center"/>
    </xf>
    <xf numFmtId="0" fontId="0" fillId="0" borderId="0" xfId="0" applyAlignment="1">
      <alignment horizontal="center" vertical="center"/>
    </xf>
    <xf numFmtId="9" fontId="10" fillId="6" borderId="0" xfId="1" applyFont="1" applyFill="1"/>
    <xf numFmtId="167" fontId="10" fillId="6" borderId="0" xfId="1" applyNumberFormat="1" applyFont="1" applyFill="1"/>
    <xf numFmtId="167" fontId="8" fillId="8" borderId="0" xfId="1" applyNumberFormat="1" applyFont="1" applyFill="1"/>
    <xf numFmtId="9" fontId="8" fillId="0" borderId="0" xfId="1" applyFont="1"/>
    <xf numFmtId="169" fontId="0" fillId="0" borderId="0" xfId="0" applyNumberFormat="1"/>
    <xf numFmtId="10" fontId="8" fillId="5" borderId="0" xfId="0" applyNumberFormat="1" applyFont="1" applyFill="1"/>
    <xf numFmtId="4" fontId="8" fillId="5" borderId="0" xfId="0" applyNumberFormat="1" applyFont="1" applyFill="1"/>
    <xf numFmtId="4" fontId="10" fillId="6" borderId="0" xfId="0" applyNumberFormat="1" applyFont="1" applyFill="1"/>
    <xf numFmtId="3" fontId="12" fillId="0" borderId="0" xfId="0" applyNumberFormat="1" applyFont="1" applyAlignment="1">
      <alignment horizontal="center" vertical="center"/>
    </xf>
    <xf numFmtId="0" fontId="8" fillId="0" borderId="0" xfId="0" applyFont="1" applyAlignment="1">
      <alignment horizontal="center" vertical="center"/>
    </xf>
    <xf numFmtId="167" fontId="8" fillId="0" borderId="0" xfId="0" applyNumberFormat="1" applyFont="1" applyAlignment="1">
      <alignment horizontal="center" vertical="center"/>
    </xf>
    <xf numFmtId="167" fontId="12" fillId="0" borderId="0" xfId="0" applyNumberFormat="1" applyFont="1" applyAlignment="1">
      <alignment horizontal="center" vertical="center"/>
    </xf>
    <xf numFmtId="167" fontId="9" fillId="0" borderId="5" xfId="0" applyNumberFormat="1" applyFont="1" applyBorder="1" applyAlignment="1">
      <alignment horizontal="center" vertical="center"/>
    </xf>
    <xf numFmtId="167" fontId="9" fillId="0" borderId="0" xfId="0" applyNumberFormat="1" applyFont="1" applyAlignment="1">
      <alignment horizontal="center" vertical="center"/>
    </xf>
    <xf numFmtId="167" fontId="9" fillId="7" borderId="5" xfId="0" applyNumberFormat="1" applyFont="1" applyFill="1" applyBorder="1" applyAlignment="1">
      <alignment horizontal="center" vertical="center"/>
    </xf>
    <xf numFmtId="10" fontId="0" fillId="0" borderId="0" xfId="1" applyNumberFormat="1" applyFont="1" applyAlignment="1">
      <alignment horizontal="center" vertical="center"/>
    </xf>
    <xf numFmtId="0" fontId="4" fillId="3" borderId="3" xfId="0" applyFont="1" applyFill="1" applyBorder="1" applyAlignment="1">
      <alignment horizontal="center" vertical="center" wrapText="1"/>
    </xf>
    <xf numFmtId="0" fontId="0" fillId="2" borderId="0" xfId="0" applyFill="1" applyAlignment="1">
      <alignment vertical="top" wrapText="1"/>
    </xf>
    <xf numFmtId="0" fontId="14" fillId="3" borderId="3" xfId="0" applyFont="1" applyFill="1" applyBorder="1" applyAlignment="1">
      <alignment horizontal="center" vertical="center" wrapText="1"/>
    </xf>
    <xf numFmtId="0" fontId="8" fillId="8" borderId="6" xfId="0" applyFont="1" applyFill="1" applyBorder="1" applyAlignment="1">
      <alignment horizontal="center"/>
    </xf>
    <xf numFmtId="0" fontId="8" fillId="8" borderId="7" xfId="0" applyFont="1" applyFill="1" applyBorder="1" applyAlignment="1">
      <alignment horizontal="center"/>
    </xf>
    <xf numFmtId="0" fontId="10" fillId="6" borderId="0" xfId="0" applyFont="1" applyFill="1" applyAlignment="1">
      <alignment horizontal="center"/>
    </xf>
    <xf numFmtId="0" fontId="11" fillId="0" borderId="0" xfId="0" applyFont="1"/>
    <xf numFmtId="0" fontId="10" fillId="6" borderId="0" xfId="0" applyFont="1" applyFill="1" applyAlignment="1">
      <alignment horizontal="center" vertical="center" textRotation="90"/>
    </xf>
    <xf numFmtId="167" fontId="12" fillId="0" borderId="0" xfId="0" applyNumberFormat="1" applyFont="1"/>
    <xf numFmtId="0" fontId="9" fillId="7" borderId="3" xfId="0" applyFont="1" applyFill="1" applyBorder="1" applyAlignment="1">
      <alignment horizontal="center" vertical="center"/>
    </xf>
    <xf numFmtId="0" fontId="22" fillId="9" borderId="3" xfId="0" applyFont="1" applyFill="1" applyBorder="1" applyAlignment="1">
      <alignment horizontal="center" vertical="center"/>
    </xf>
    <xf numFmtId="0" fontId="8" fillId="0" borderId="3" xfId="0" applyFont="1" applyBorder="1" applyAlignment="1">
      <alignment horizontal="center" vertical="center"/>
    </xf>
    <xf numFmtId="10" fontId="8" fillId="0" borderId="3" xfId="0" applyNumberFormat="1" applyFont="1" applyBorder="1" applyAlignment="1">
      <alignment horizontal="center" vertical="center"/>
    </xf>
    <xf numFmtId="9" fontId="8" fillId="0" borderId="3" xfId="0" applyNumberFormat="1" applyFont="1" applyBorder="1" applyAlignment="1">
      <alignment horizontal="center" vertical="center"/>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center" vertical="center" wrapText="1"/>
    </xf>
    <xf numFmtId="0" fontId="0" fillId="0" borderId="0" xfId="0" applyBorder="1" applyAlignment="1">
      <alignment horizontal="center" vertical="center" wrapText="1"/>
    </xf>
  </cellXfs>
  <cellStyles count="2">
    <cellStyle name="Normal" xfId="0" builtinId="0"/>
    <cellStyle name="Porcentaje" xfId="1" builtinId="5"/>
  </cellStyles>
  <dxfs count="0"/>
  <tableStyles count="1" defaultTableStyle="TableStyleMedium2" defaultPivotStyle="PivotStyleLight16">
    <tableStyle name="Invisible" pivot="0" table="0" count="0" xr9:uid="{77202309-B0B0-4788-856C-C7086640CE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D60C-3790-4B31-87C7-713B040141B2}">
  <dimension ref="A1:D30"/>
  <sheetViews>
    <sheetView workbookViewId="0">
      <selection activeCell="B13" sqref="B13:D13"/>
    </sheetView>
  </sheetViews>
  <sheetFormatPr baseColWidth="10" defaultColWidth="76.5546875" defaultRowHeight="14.4" x14ac:dyDescent="0.3"/>
  <cols>
    <col min="1" max="1" width="41.6640625" bestFit="1" customWidth="1"/>
    <col min="2" max="4" width="12.109375" bestFit="1" customWidth="1"/>
    <col min="5" max="5" width="23.21875" customWidth="1"/>
  </cols>
  <sheetData>
    <row r="1" spans="1:4" ht="26.4" x14ac:dyDescent="0.3">
      <c r="A1" s="3" t="s">
        <v>0</v>
      </c>
      <c r="B1" s="115" t="s">
        <v>2</v>
      </c>
      <c r="C1" s="115"/>
      <c r="D1" s="115"/>
    </row>
    <row r="2" spans="1:4" ht="26.4" x14ac:dyDescent="0.3">
      <c r="A2" s="3" t="s">
        <v>1</v>
      </c>
      <c r="B2" s="3" t="s">
        <v>5</v>
      </c>
      <c r="C2" s="3" t="s">
        <v>4</v>
      </c>
      <c r="D2" s="3" t="s">
        <v>3</v>
      </c>
    </row>
    <row r="3" spans="1:4" x14ac:dyDescent="0.3">
      <c r="A3" s="4" t="s">
        <v>6</v>
      </c>
      <c r="B3" s="14">
        <v>383285</v>
      </c>
      <c r="C3" s="14">
        <v>391035</v>
      </c>
      <c r="D3" s="14">
        <v>416161</v>
      </c>
    </row>
    <row r="4" spans="1:4" x14ac:dyDescent="0.3">
      <c r="A4" s="5" t="s">
        <v>7</v>
      </c>
      <c r="B4" s="15">
        <v>214137</v>
      </c>
      <c r="C4" s="15">
        <v>210352</v>
      </c>
      <c r="D4" s="15">
        <v>220960</v>
      </c>
    </row>
    <row r="5" spans="1:4" x14ac:dyDescent="0.3">
      <c r="A5" s="6" t="s">
        <v>8</v>
      </c>
      <c r="B5" s="16">
        <v>169148</v>
      </c>
      <c r="C5" s="16">
        <v>180683</v>
      </c>
      <c r="D5" s="16">
        <v>195201</v>
      </c>
    </row>
    <row r="6" spans="1:4" x14ac:dyDescent="0.3">
      <c r="A6" s="7" t="s">
        <v>9</v>
      </c>
      <c r="B6" s="17"/>
      <c r="C6" s="17"/>
      <c r="D6" s="17"/>
    </row>
    <row r="7" spans="1:4" x14ac:dyDescent="0.3">
      <c r="A7" s="6" t="s">
        <v>10</v>
      </c>
      <c r="B7" s="16">
        <v>29915</v>
      </c>
      <c r="C7" s="16">
        <v>31370</v>
      </c>
      <c r="D7" s="16">
        <v>34550</v>
      </c>
    </row>
    <row r="8" spans="1:4" x14ac:dyDescent="0.3">
      <c r="A8" s="5" t="s">
        <v>11</v>
      </c>
      <c r="B8" s="15">
        <v>24932</v>
      </c>
      <c r="C8" s="15">
        <v>26097</v>
      </c>
      <c r="D8" s="15">
        <v>27601</v>
      </c>
    </row>
    <row r="9" spans="1:4" x14ac:dyDescent="0.3">
      <c r="A9" s="6" t="s">
        <v>12</v>
      </c>
      <c r="B9" s="16">
        <v>54847</v>
      </c>
      <c r="C9" s="16">
        <v>57467</v>
      </c>
      <c r="D9" s="16">
        <v>62151</v>
      </c>
    </row>
    <row r="10" spans="1:4" x14ac:dyDescent="0.3">
      <c r="A10" s="5" t="s">
        <v>13</v>
      </c>
      <c r="B10" s="15">
        <v>114301</v>
      </c>
      <c r="C10" s="15">
        <v>123216</v>
      </c>
      <c r="D10" s="15">
        <v>133050</v>
      </c>
    </row>
    <row r="11" spans="1:4" x14ac:dyDescent="0.3">
      <c r="A11" s="8" t="s">
        <v>14</v>
      </c>
      <c r="B11" s="18">
        <v>-565</v>
      </c>
      <c r="C11" s="18">
        <v>269</v>
      </c>
      <c r="D11" s="18">
        <v>-321</v>
      </c>
    </row>
    <row r="12" spans="1:4" x14ac:dyDescent="0.3">
      <c r="A12" s="5" t="s">
        <v>15</v>
      </c>
      <c r="B12" s="15">
        <v>113736</v>
      </c>
      <c r="C12" s="15">
        <v>123485</v>
      </c>
      <c r="D12" s="15">
        <v>132729</v>
      </c>
    </row>
    <row r="13" spans="1:4" x14ac:dyDescent="0.3">
      <c r="A13" s="6" t="s">
        <v>16</v>
      </c>
      <c r="B13" s="16">
        <v>16741</v>
      </c>
      <c r="C13" s="16">
        <v>29749</v>
      </c>
      <c r="D13" s="16">
        <v>20719</v>
      </c>
    </row>
    <row r="14" spans="1:4" x14ac:dyDescent="0.3">
      <c r="A14" s="9" t="s">
        <v>17</v>
      </c>
      <c r="B14" s="19">
        <v>96995</v>
      </c>
      <c r="C14" s="19">
        <v>93736</v>
      </c>
      <c r="D14" s="19">
        <v>112010</v>
      </c>
    </row>
    <row r="15" spans="1:4" x14ac:dyDescent="0.3">
      <c r="A15" s="10" t="s">
        <v>18</v>
      </c>
      <c r="B15" s="20"/>
      <c r="C15" s="20"/>
      <c r="D15" s="20"/>
    </row>
    <row r="16" spans="1:4" x14ac:dyDescent="0.3">
      <c r="A16" s="11" t="s">
        <v>19</v>
      </c>
      <c r="B16" s="21">
        <v>6.16</v>
      </c>
      <c r="C16" s="21">
        <v>6.11</v>
      </c>
      <c r="D16" s="21">
        <v>7.49</v>
      </c>
    </row>
    <row r="17" spans="1:4" x14ac:dyDescent="0.3">
      <c r="A17" s="12" t="s">
        <v>20</v>
      </c>
      <c r="B17" s="22">
        <v>6.13</v>
      </c>
      <c r="C17" s="22">
        <v>6.08</v>
      </c>
      <c r="D17" s="22">
        <v>7.46</v>
      </c>
    </row>
    <row r="18" spans="1:4" x14ac:dyDescent="0.3">
      <c r="A18" s="7" t="s">
        <v>21</v>
      </c>
      <c r="B18" s="17"/>
      <c r="C18" s="17"/>
      <c r="D18" s="17"/>
    </row>
    <row r="19" spans="1:4" x14ac:dyDescent="0.3">
      <c r="A19" s="6" t="s">
        <v>22</v>
      </c>
      <c r="B19" s="16">
        <v>15744231</v>
      </c>
      <c r="C19" s="16">
        <v>15343783</v>
      </c>
      <c r="D19" s="16">
        <v>14948500</v>
      </c>
    </row>
    <row r="20" spans="1:4" x14ac:dyDescent="0.3">
      <c r="A20" s="5" t="s">
        <v>23</v>
      </c>
      <c r="B20" s="15">
        <v>15812547</v>
      </c>
      <c r="C20" s="15">
        <v>15408095</v>
      </c>
      <c r="D20" s="15">
        <v>15004697</v>
      </c>
    </row>
    <row r="21" spans="1:4" x14ac:dyDescent="0.3">
      <c r="A21" s="13" t="s">
        <v>24</v>
      </c>
      <c r="B21" s="3"/>
      <c r="C21" s="3"/>
      <c r="D21" s="3"/>
    </row>
    <row r="22" spans="1:4" x14ac:dyDescent="0.3">
      <c r="A22" s="9" t="s">
        <v>6</v>
      </c>
      <c r="B22" s="19">
        <v>298085</v>
      </c>
      <c r="C22" s="19">
        <v>294866</v>
      </c>
      <c r="D22" s="19">
        <v>307003</v>
      </c>
    </row>
    <row r="23" spans="1:4" x14ac:dyDescent="0.3">
      <c r="A23" s="6" t="s">
        <v>7</v>
      </c>
      <c r="B23" s="16">
        <v>189282</v>
      </c>
      <c r="C23" s="16">
        <v>185233</v>
      </c>
      <c r="D23" s="16">
        <v>194116</v>
      </c>
    </row>
    <row r="24" spans="1:4" x14ac:dyDescent="0.3">
      <c r="A24" s="13" t="s">
        <v>25</v>
      </c>
      <c r="B24" s="3"/>
      <c r="C24" s="3"/>
      <c r="D24" s="3"/>
    </row>
    <row r="25" spans="1:4" x14ac:dyDescent="0.3">
      <c r="A25" s="6" t="s">
        <v>6</v>
      </c>
      <c r="B25" s="16">
        <v>85200</v>
      </c>
      <c r="C25" s="16">
        <v>96169</v>
      </c>
      <c r="D25" s="16">
        <v>109158</v>
      </c>
    </row>
    <row r="26" spans="1:4" x14ac:dyDescent="0.3">
      <c r="A26" s="9" t="s">
        <v>7</v>
      </c>
      <c r="B26" s="19">
        <v>24855</v>
      </c>
      <c r="C26" s="19">
        <v>25119</v>
      </c>
      <c r="D26" s="19">
        <v>26844</v>
      </c>
    </row>
    <row r="28" spans="1:4" x14ac:dyDescent="0.3">
      <c r="A28" s="116"/>
      <c r="B28" s="116"/>
      <c r="C28" s="116"/>
      <c r="D28" s="116"/>
    </row>
    <row r="29" spans="1:4" ht="15" thickBot="1" x14ac:dyDescent="0.35"/>
    <row r="30" spans="1:4" x14ac:dyDescent="0.3">
      <c r="A30" s="1"/>
      <c r="B30" s="1"/>
      <c r="C30" s="1"/>
      <c r="D30" s="1"/>
    </row>
  </sheetData>
  <mergeCells count="2">
    <mergeCell ref="B1:D1"/>
    <mergeCell ref="A28:D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6BE2-6B28-4CEC-92E0-BD48AA1464B5}">
  <dimension ref="A1:D38"/>
  <sheetViews>
    <sheetView workbookViewId="0">
      <selection activeCell="E38" sqref="E38"/>
    </sheetView>
  </sheetViews>
  <sheetFormatPr baseColWidth="10" defaultRowHeight="14.4" x14ac:dyDescent="0.3"/>
  <cols>
    <col min="1" max="1" width="50" style="54" customWidth="1"/>
    <col min="3" max="4" width="10.109375" style="55" bestFit="1" customWidth="1"/>
  </cols>
  <sheetData>
    <row r="1" spans="1:4" ht="26.4" x14ac:dyDescent="0.3">
      <c r="A1" s="3" t="s">
        <v>26</v>
      </c>
      <c r="B1" s="56" t="s">
        <v>5</v>
      </c>
      <c r="C1" s="3" t="s">
        <v>4</v>
      </c>
      <c r="D1" s="3" t="s">
        <v>3</v>
      </c>
    </row>
    <row r="2" spans="1:4" x14ac:dyDescent="0.3">
      <c r="A2" s="43" t="s">
        <v>27</v>
      </c>
      <c r="B2" s="44"/>
      <c r="C2" s="44"/>
      <c r="D2" s="44"/>
    </row>
    <row r="3" spans="1:4" x14ac:dyDescent="0.3">
      <c r="A3" s="45" t="s">
        <v>28</v>
      </c>
      <c r="B3" s="19">
        <v>29965</v>
      </c>
      <c r="C3" s="19">
        <v>29943</v>
      </c>
      <c r="D3" s="19">
        <v>35934</v>
      </c>
    </row>
    <row r="4" spans="1:4" x14ac:dyDescent="0.3">
      <c r="A4" s="46" t="s">
        <v>29</v>
      </c>
      <c r="B4" s="16">
        <v>31590</v>
      </c>
      <c r="C4" s="16">
        <v>35228</v>
      </c>
      <c r="D4" s="16">
        <v>18763</v>
      </c>
    </row>
    <row r="5" spans="1:4" x14ac:dyDescent="0.3">
      <c r="A5" s="47" t="s">
        <v>30</v>
      </c>
      <c r="B5" s="15">
        <v>29508</v>
      </c>
      <c r="C5" s="15">
        <v>33410</v>
      </c>
      <c r="D5" s="15">
        <v>39777</v>
      </c>
    </row>
    <row r="6" spans="1:4" x14ac:dyDescent="0.3">
      <c r="A6" s="46" t="s">
        <v>31</v>
      </c>
      <c r="B6" s="16">
        <v>31477</v>
      </c>
      <c r="C6" s="16">
        <v>32833</v>
      </c>
      <c r="D6" s="16">
        <v>33180</v>
      </c>
    </row>
    <row r="7" spans="1:4" x14ac:dyDescent="0.3">
      <c r="A7" s="47" t="s">
        <v>32</v>
      </c>
      <c r="B7" s="15">
        <v>6331</v>
      </c>
      <c r="C7" s="15">
        <v>7286</v>
      </c>
      <c r="D7" s="15">
        <v>5718</v>
      </c>
    </row>
    <row r="8" spans="1:4" x14ac:dyDescent="0.3">
      <c r="A8" s="46" t="s">
        <v>33</v>
      </c>
      <c r="B8" s="16">
        <v>14695</v>
      </c>
      <c r="C8" s="16">
        <v>14287</v>
      </c>
      <c r="D8" s="16">
        <v>14585</v>
      </c>
    </row>
    <row r="9" spans="1:4" x14ac:dyDescent="0.3">
      <c r="A9" s="47" t="s">
        <v>34</v>
      </c>
      <c r="B9" s="15">
        <v>143566</v>
      </c>
      <c r="C9" s="15">
        <v>152987</v>
      </c>
      <c r="D9" s="15">
        <v>147957</v>
      </c>
    </row>
    <row r="10" spans="1:4" x14ac:dyDescent="0.3">
      <c r="A10" s="43" t="s">
        <v>35</v>
      </c>
      <c r="B10" s="44"/>
      <c r="C10" s="44"/>
      <c r="D10" s="44"/>
    </row>
    <row r="11" spans="1:4" x14ac:dyDescent="0.3">
      <c r="A11" s="47" t="s">
        <v>29</v>
      </c>
      <c r="B11" s="15">
        <v>100544</v>
      </c>
      <c r="C11" s="15">
        <v>91479</v>
      </c>
      <c r="D11" s="15">
        <v>77723</v>
      </c>
    </row>
    <row r="12" spans="1:4" x14ac:dyDescent="0.3">
      <c r="A12" s="46" t="s">
        <v>36</v>
      </c>
      <c r="B12" s="16">
        <v>43715</v>
      </c>
      <c r="C12" s="16">
        <v>45680</v>
      </c>
      <c r="D12" s="16">
        <v>49834</v>
      </c>
    </row>
    <row r="13" spans="1:4" x14ac:dyDescent="0.3">
      <c r="A13" s="47" t="s">
        <v>37</v>
      </c>
      <c r="B13" s="15">
        <v>64758</v>
      </c>
      <c r="C13" s="15">
        <v>74834</v>
      </c>
      <c r="D13" s="15">
        <v>83727</v>
      </c>
    </row>
    <row r="14" spans="1:4" x14ac:dyDescent="0.3">
      <c r="A14" s="46" t="s">
        <v>38</v>
      </c>
      <c r="B14" s="16">
        <v>209017</v>
      </c>
      <c r="C14" s="16">
        <v>211993</v>
      </c>
      <c r="D14" s="16">
        <v>211284</v>
      </c>
    </row>
    <row r="15" spans="1:4" x14ac:dyDescent="0.3">
      <c r="A15" s="47" t="s">
        <v>39</v>
      </c>
      <c r="B15" s="15">
        <v>352583</v>
      </c>
      <c r="C15" s="15">
        <v>364980</v>
      </c>
      <c r="D15" s="15">
        <v>359241</v>
      </c>
    </row>
    <row r="16" spans="1:4" x14ac:dyDescent="0.3">
      <c r="A16" s="43" t="s">
        <v>40</v>
      </c>
      <c r="B16" s="44"/>
      <c r="C16" s="44"/>
      <c r="D16" s="44"/>
    </row>
    <row r="17" spans="1:4" x14ac:dyDescent="0.3">
      <c r="A17" s="47" t="s">
        <v>41</v>
      </c>
      <c r="B17" s="15">
        <v>62611</v>
      </c>
      <c r="C17" s="15">
        <v>68960</v>
      </c>
      <c r="D17" s="15">
        <v>69860</v>
      </c>
    </row>
    <row r="18" spans="1:4" x14ac:dyDescent="0.3">
      <c r="A18" s="46" t="s">
        <v>42</v>
      </c>
      <c r="B18" s="16">
        <v>58829</v>
      </c>
      <c r="C18" s="16">
        <v>78304</v>
      </c>
      <c r="D18" s="16">
        <v>66387</v>
      </c>
    </row>
    <row r="19" spans="1:4" x14ac:dyDescent="0.3">
      <c r="A19" s="47" t="s">
        <v>43</v>
      </c>
      <c r="B19" s="15">
        <v>8061</v>
      </c>
      <c r="C19" s="15">
        <v>8249</v>
      </c>
      <c r="D19" s="15">
        <v>9055</v>
      </c>
    </row>
    <row r="20" spans="1:4" x14ac:dyDescent="0.3">
      <c r="A20" s="46" t="s">
        <v>44</v>
      </c>
      <c r="B20" s="16">
        <v>5985</v>
      </c>
      <c r="C20" s="16">
        <v>9967</v>
      </c>
      <c r="D20" s="16">
        <v>7979</v>
      </c>
    </row>
    <row r="21" spans="1:4" x14ac:dyDescent="0.3">
      <c r="A21" s="47" t="s">
        <v>45</v>
      </c>
      <c r="B21" s="15">
        <v>9822</v>
      </c>
      <c r="C21" s="15">
        <v>10912</v>
      </c>
      <c r="D21" s="15">
        <v>12350</v>
      </c>
    </row>
    <row r="22" spans="1:4" x14ac:dyDescent="0.3">
      <c r="A22" s="46" t="s">
        <v>46</v>
      </c>
      <c r="B22" s="16">
        <v>145308</v>
      </c>
      <c r="C22" s="16">
        <v>176392</v>
      </c>
      <c r="D22" s="16">
        <v>165631</v>
      </c>
    </row>
    <row r="23" spans="1:4" x14ac:dyDescent="0.3">
      <c r="A23" s="48" t="s">
        <v>47</v>
      </c>
      <c r="B23" s="49"/>
      <c r="C23" s="49"/>
      <c r="D23" s="49"/>
    </row>
    <row r="24" spans="1:4" x14ac:dyDescent="0.3">
      <c r="A24" s="46" t="s">
        <v>45</v>
      </c>
      <c r="B24" s="16">
        <v>95281</v>
      </c>
      <c r="C24" s="16">
        <v>85750</v>
      </c>
      <c r="D24" s="16">
        <v>78328</v>
      </c>
    </row>
    <row r="25" spans="1:4" x14ac:dyDescent="0.3">
      <c r="A25" s="47" t="s">
        <v>48</v>
      </c>
      <c r="B25" s="15">
        <v>49848</v>
      </c>
      <c r="C25" s="15">
        <v>45888</v>
      </c>
      <c r="D25" s="15">
        <v>41549</v>
      </c>
    </row>
    <row r="26" spans="1:4" x14ac:dyDescent="0.3">
      <c r="A26" s="46" t="s">
        <v>49</v>
      </c>
      <c r="B26" s="16">
        <v>145129</v>
      </c>
      <c r="C26" s="16">
        <v>131638</v>
      </c>
      <c r="D26" s="16">
        <v>119877</v>
      </c>
    </row>
    <row r="27" spans="1:4" x14ac:dyDescent="0.3">
      <c r="A27" s="47" t="s">
        <v>50</v>
      </c>
      <c r="B27" s="15">
        <v>290437</v>
      </c>
      <c r="C27" s="15">
        <v>308030</v>
      </c>
      <c r="D27" s="15">
        <v>285508</v>
      </c>
    </row>
    <row r="28" spans="1:4" x14ac:dyDescent="0.3">
      <c r="A28" s="50" t="s">
        <v>51</v>
      </c>
      <c r="B28" s="20"/>
      <c r="C28" s="20"/>
      <c r="D28" s="20"/>
    </row>
    <row r="29" spans="1:4" x14ac:dyDescent="0.3">
      <c r="A29" s="47" t="s">
        <v>52</v>
      </c>
      <c r="B29" s="15">
        <v>15550061</v>
      </c>
      <c r="C29" s="15">
        <v>15116786</v>
      </c>
      <c r="D29" s="15">
        <v>14773260</v>
      </c>
    </row>
    <row r="30" spans="1:4" x14ac:dyDescent="0.3">
      <c r="A30" s="46" t="s">
        <v>53</v>
      </c>
      <c r="B30" s="16">
        <v>15550061</v>
      </c>
      <c r="C30" s="16">
        <v>15116786</v>
      </c>
      <c r="D30" s="16">
        <v>14773260</v>
      </c>
    </row>
    <row r="31" spans="1:4" x14ac:dyDescent="0.3">
      <c r="A31" s="48" t="s">
        <v>54</v>
      </c>
      <c r="B31" s="49"/>
      <c r="C31" s="49"/>
      <c r="D31" s="49"/>
    </row>
    <row r="32" spans="1:4" x14ac:dyDescent="0.3">
      <c r="A32" s="51" t="s">
        <v>55</v>
      </c>
      <c r="B32" s="14">
        <v>73812</v>
      </c>
      <c r="C32" s="14">
        <v>83276</v>
      </c>
      <c r="D32" s="14">
        <v>93568</v>
      </c>
    </row>
    <row r="33" spans="1:4" x14ac:dyDescent="0.3">
      <c r="A33" s="47" t="s">
        <v>56</v>
      </c>
      <c r="B33" s="15">
        <v>-214</v>
      </c>
      <c r="C33" s="15">
        <v>-19154</v>
      </c>
      <c r="D33" s="15">
        <v>-14264</v>
      </c>
    </row>
    <row r="34" spans="1:4" x14ac:dyDescent="0.3">
      <c r="A34" s="46" t="s">
        <v>57</v>
      </c>
      <c r="B34" s="16">
        <v>-11452</v>
      </c>
      <c r="C34" s="16">
        <v>-7172</v>
      </c>
      <c r="D34" s="16">
        <v>-5571</v>
      </c>
    </row>
    <row r="35" spans="1:4" x14ac:dyDescent="0.3">
      <c r="A35" s="47" t="s">
        <v>58</v>
      </c>
      <c r="B35" s="15">
        <v>62146</v>
      </c>
      <c r="C35" s="15">
        <v>56950</v>
      </c>
      <c r="D35" s="15">
        <v>73733</v>
      </c>
    </row>
    <row r="36" spans="1:4" x14ac:dyDescent="0.3">
      <c r="A36" s="51" t="s">
        <v>59</v>
      </c>
      <c r="B36" s="14">
        <v>352583</v>
      </c>
      <c r="C36" s="14">
        <v>364980</v>
      </c>
      <c r="D36" s="14">
        <v>359241</v>
      </c>
    </row>
    <row r="37" spans="1:4" x14ac:dyDescent="0.3">
      <c r="A37" s="52"/>
      <c r="C37" s="53"/>
      <c r="D37" s="53"/>
    </row>
    <row r="38" spans="1:4" x14ac:dyDescent="0.3">
      <c r="A38" s="52"/>
      <c r="C38" s="52"/>
      <c r="D38" s="5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7464-99FC-429C-A3EC-23AE3E3B0A89}">
  <dimension ref="A1:D40"/>
  <sheetViews>
    <sheetView workbookViewId="0">
      <selection activeCell="A23" sqref="A23:C23"/>
    </sheetView>
  </sheetViews>
  <sheetFormatPr baseColWidth="10" defaultColWidth="29.109375" defaultRowHeight="14.4" x14ac:dyDescent="0.3"/>
  <cols>
    <col min="1" max="1" width="80.6640625" bestFit="1" customWidth="1"/>
    <col min="2" max="4" width="10" style="23" bestFit="1" customWidth="1"/>
  </cols>
  <sheetData>
    <row r="1" spans="1:4" ht="15" x14ac:dyDescent="0.3">
      <c r="A1" s="66" t="s">
        <v>60</v>
      </c>
      <c r="B1" s="117" t="s">
        <v>2</v>
      </c>
      <c r="C1" s="117"/>
      <c r="D1" s="117"/>
    </row>
    <row r="2" spans="1:4" ht="27.6" x14ac:dyDescent="0.3">
      <c r="A2" s="66" t="s">
        <v>61</v>
      </c>
      <c r="B2" s="57" t="s">
        <v>5</v>
      </c>
      <c r="C2" s="57" t="s">
        <v>4</v>
      </c>
      <c r="D2" s="57" t="s">
        <v>3</v>
      </c>
    </row>
    <row r="3" spans="1:4" ht="15" x14ac:dyDescent="0.3">
      <c r="A3" s="67" t="s">
        <v>62</v>
      </c>
      <c r="B3" s="58"/>
      <c r="C3" s="58"/>
      <c r="D3" s="58"/>
    </row>
    <row r="4" spans="1:4" ht="15" x14ac:dyDescent="0.3">
      <c r="A4" s="68" t="s">
        <v>63</v>
      </c>
      <c r="B4" s="59">
        <v>24977</v>
      </c>
      <c r="C4" s="59">
        <v>30737</v>
      </c>
      <c r="D4" s="59">
        <v>29943</v>
      </c>
    </row>
    <row r="5" spans="1:4" ht="15" x14ac:dyDescent="0.3">
      <c r="A5" s="67" t="s">
        <v>64</v>
      </c>
      <c r="B5" s="58"/>
      <c r="C5" s="58"/>
      <c r="D5" s="58"/>
    </row>
    <row r="6" spans="1:4" ht="15" x14ac:dyDescent="0.3">
      <c r="A6" s="69" t="s">
        <v>17</v>
      </c>
      <c r="B6" s="60">
        <v>96995</v>
      </c>
      <c r="C6" s="60">
        <v>93736</v>
      </c>
      <c r="D6" s="60">
        <v>112010</v>
      </c>
    </row>
    <row r="7" spans="1:4" ht="15" x14ac:dyDescent="0.3">
      <c r="A7" s="67" t="s">
        <v>65</v>
      </c>
      <c r="B7" s="58"/>
      <c r="C7" s="58"/>
      <c r="D7" s="58"/>
    </row>
    <row r="8" spans="1:4" ht="15" x14ac:dyDescent="0.3">
      <c r="A8" s="69" t="s">
        <v>66</v>
      </c>
      <c r="B8" s="60">
        <v>11519</v>
      </c>
      <c r="C8" s="60">
        <v>11445</v>
      </c>
      <c r="D8" s="60">
        <v>11698</v>
      </c>
    </row>
    <row r="9" spans="1:4" ht="15" x14ac:dyDescent="0.3">
      <c r="A9" s="70" t="s">
        <v>67</v>
      </c>
      <c r="B9" s="61">
        <v>10833</v>
      </c>
      <c r="C9" s="61">
        <v>11688</v>
      </c>
      <c r="D9" s="61">
        <v>12863</v>
      </c>
    </row>
    <row r="10" spans="1:4" ht="15" x14ac:dyDescent="0.3">
      <c r="A10" s="71" t="s">
        <v>68</v>
      </c>
      <c r="B10" s="60">
        <v>-2227</v>
      </c>
      <c r="C10" s="60">
        <v>-2266</v>
      </c>
      <c r="D10" s="62">
        <v>-89</v>
      </c>
    </row>
    <row r="11" spans="1:4" ht="15" x14ac:dyDescent="0.3">
      <c r="A11" s="67" t="s">
        <v>69</v>
      </c>
      <c r="B11" s="58"/>
      <c r="C11" s="58"/>
      <c r="D11" s="58"/>
    </row>
    <row r="12" spans="1:4" ht="15" x14ac:dyDescent="0.3">
      <c r="A12" s="69" t="s">
        <v>30</v>
      </c>
      <c r="B12" s="60">
        <v>-1688</v>
      </c>
      <c r="C12" s="60">
        <v>-3788</v>
      </c>
      <c r="D12" s="60">
        <v>-6682</v>
      </c>
    </row>
    <row r="13" spans="1:4" ht="15" x14ac:dyDescent="0.3">
      <c r="A13" s="72" t="s">
        <v>31</v>
      </c>
      <c r="B13" s="61">
        <v>1271</v>
      </c>
      <c r="C13" s="61">
        <v>-1356</v>
      </c>
      <c r="D13" s="63">
        <v>-347</v>
      </c>
    </row>
    <row r="14" spans="1:4" ht="15" x14ac:dyDescent="0.3">
      <c r="A14" s="69" t="s">
        <v>32</v>
      </c>
      <c r="B14" s="60">
        <v>-1618</v>
      </c>
      <c r="C14" s="60">
        <v>-1046</v>
      </c>
      <c r="D14" s="60">
        <v>1400</v>
      </c>
    </row>
    <row r="15" spans="1:4" ht="15" x14ac:dyDescent="0.3">
      <c r="A15" s="70" t="s">
        <v>70</v>
      </c>
      <c r="B15" s="61">
        <v>-5684</v>
      </c>
      <c r="C15" s="61">
        <v>-11731</v>
      </c>
      <c r="D15" s="61">
        <v>-9197</v>
      </c>
    </row>
    <row r="16" spans="1:4" ht="15" x14ac:dyDescent="0.3">
      <c r="A16" s="71" t="s">
        <v>41</v>
      </c>
      <c r="B16" s="60">
        <v>-1889</v>
      </c>
      <c r="C16" s="60">
        <v>6020</v>
      </c>
      <c r="D16" s="62">
        <v>902</v>
      </c>
    </row>
    <row r="17" spans="1:4" ht="15" x14ac:dyDescent="0.3">
      <c r="A17" s="70" t="s">
        <v>71</v>
      </c>
      <c r="B17" s="61">
        <v>3031</v>
      </c>
      <c r="C17" s="61">
        <v>15552</v>
      </c>
      <c r="D17" s="61">
        <v>-11076</v>
      </c>
    </row>
    <row r="18" spans="1:4" ht="15" x14ac:dyDescent="0.3">
      <c r="A18" s="69" t="s">
        <v>72</v>
      </c>
      <c r="B18" s="60">
        <v>110543</v>
      </c>
      <c r="C18" s="60">
        <v>118254</v>
      </c>
      <c r="D18" s="60">
        <v>111482</v>
      </c>
    </row>
    <row r="19" spans="1:4" ht="15" x14ac:dyDescent="0.3">
      <c r="A19" s="73" t="s">
        <v>73</v>
      </c>
      <c r="B19" s="64"/>
      <c r="C19" s="64"/>
      <c r="D19" s="64"/>
    </row>
    <row r="20" spans="1:4" ht="15" x14ac:dyDescent="0.3">
      <c r="A20" s="69" t="s">
        <v>74</v>
      </c>
      <c r="B20" s="60">
        <v>-29513</v>
      </c>
      <c r="C20" s="60">
        <v>-48656</v>
      </c>
      <c r="D20" s="60">
        <v>-24407</v>
      </c>
    </row>
    <row r="21" spans="1:4" ht="15" x14ac:dyDescent="0.3">
      <c r="A21" s="70" t="s">
        <v>75</v>
      </c>
      <c r="B21" s="61">
        <v>39686</v>
      </c>
      <c r="C21" s="61">
        <v>51211</v>
      </c>
      <c r="D21" s="61">
        <v>40907</v>
      </c>
    </row>
    <row r="22" spans="1:4" ht="15" x14ac:dyDescent="0.3">
      <c r="A22" s="69" t="s">
        <v>76</v>
      </c>
      <c r="B22" s="60">
        <v>5828</v>
      </c>
      <c r="C22" s="60">
        <v>11135</v>
      </c>
      <c r="D22" s="60">
        <v>12890</v>
      </c>
    </row>
    <row r="23" spans="1:4" ht="15" x14ac:dyDescent="0.3">
      <c r="A23" s="70" t="s">
        <v>77</v>
      </c>
      <c r="B23" s="61">
        <v>-10959</v>
      </c>
      <c r="C23" s="61">
        <v>-9447</v>
      </c>
      <c r="D23" s="61">
        <v>-12715</v>
      </c>
    </row>
    <row r="24" spans="1:4" ht="15" x14ac:dyDescent="0.3">
      <c r="A24" s="69" t="s">
        <v>68</v>
      </c>
      <c r="B24" s="60">
        <v>-1337</v>
      </c>
      <c r="C24" s="60">
        <v>-1308</v>
      </c>
      <c r="D24" s="60">
        <v>-1480</v>
      </c>
    </row>
    <row r="25" spans="1:4" ht="15" x14ac:dyDescent="0.3">
      <c r="A25" s="70" t="s">
        <v>78</v>
      </c>
      <c r="B25" s="61">
        <v>3705</v>
      </c>
      <c r="C25" s="61">
        <v>2935</v>
      </c>
      <c r="D25" s="61">
        <v>15195</v>
      </c>
    </row>
    <row r="26" spans="1:4" ht="15" x14ac:dyDescent="0.3">
      <c r="A26" s="74" t="s">
        <v>79</v>
      </c>
      <c r="B26" s="65"/>
      <c r="C26" s="65"/>
      <c r="D26" s="65"/>
    </row>
    <row r="27" spans="1:4" ht="15" x14ac:dyDescent="0.3">
      <c r="A27" s="70" t="s">
        <v>80</v>
      </c>
      <c r="B27" s="61">
        <v>-5431</v>
      </c>
      <c r="C27" s="61">
        <v>-5441</v>
      </c>
      <c r="D27" s="61">
        <v>-5960</v>
      </c>
    </row>
    <row r="28" spans="1:4" ht="15" x14ac:dyDescent="0.3">
      <c r="A28" s="69" t="s">
        <v>81</v>
      </c>
      <c r="B28" s="60">
        <v>-15025</v>
      </c>
      <c r="C28" s="60">
        <v>-15234</v>
      </c>
      <c r="D28" s="60">
        <v>-15421</v>
      </c>
    </row>
    <row r="29" spans="1:4" ht="15" x14ac:dyDescent="0.3">
      <c r="A29" s="70" t="s">
        <v>82</v>
      </c>
      <c r="B29" s="61">
        <v>-77550</v>
      </c>
      <c r="C29" s="61">
        <v>-94949</v>
      </c>
      <c r="D29" s="61">
        <v>-90711</v>
      </c>
    </row>
    <row r="30" spans="1:4" ht="15" x14ac:dyDescent="0.3">
      <c r="A30" s="69" t="s">
        <v>83</v>
      </c>
      <c r="B30" s="60">
        <v>5228</v>
      </c>
      <c r="C30" s="62">
        <v>0</v>
      </c>
      <c r="D30" s="60">
        <v>4481</v>
      </c>
    </row>
    <row r="31" spans="1:4" ht="15" x14ac:dyDescent="0.3">
      <c r="A31" s="70" t="s">
        <v>84</v>
      </c>
      <c r="B31" s="61">
        <v>-11151</v>
      </c>
      <c r="C31" s="61">
        <v>-9958</v>
      </c>
      <c r="D31" s="61">
        <v>-10932</v>
      </c>
    </row>
    <row r="32" spans="1:4" ht="15" x14ac:dyDescent="0.3">
      <c r="A32" s="69" t="s">
        <v>85</v>
      </c>
      <c r="B32" s="60">
        <v>-3978</v>
      </c>
      <c r="C32" s="60">
        <v>3960</v>
      </c>
      <c r="D32" s="60">
        <v>-2032</v>
      </c>
    </row>
    <row r="33" spans="1:4" ht="15" x14ac:dyDescent="0.3">
      <c r="A33" s="72" t="s">
        <v>68</v>
      </c>
      <c r="B33" s="63">
        <v>-581</v>
      </c>
      <c r="C33" s="63">
        <v>-361</v>
      </c>
      <c r="D33" s="63">
        <v>-111</v>
      </c>
    </row>
    <row r="34" spans="1:4" ht="15" x14ac:dyDescent="0.3">
      <c r="A34" s="69" t="s">
        <v>86</v>
      </c>
      <c r="B34" s="60">
        <v>-108488</v>
      </c>
      <c r="C34" s="60">
        <v>-121983</v>
      </c>
      <c r="D34" s="60">
        <v>-120686</v>
      </c>
    </row>
    <row r="35" spans="1:4" ht="15" x14ac:dyDescent="0.3">
      <c r="A35" s="70" t="s">
        <v>87</v>
      </c>
      <c r="B35" s="61">
        <v>5760</v>
      </c>
      <c r="C35" s="63">
        <v>-794</v>
      </c>
      <c r="D35" s="61">
        <v>5991</v>
      </c>
    </row>
    <row r="36" spans="1:4" ht="15" x14ac:dyDescent="0.3">
      <c r="A36" s="69" t="s">
        <v>88</v>
      </c>
      <c r="B36" s="60">
        <v>30737</v>
      </c>
      <c r="C36" s="60">
        <v>29943</v>
      </c>
      <c r="D36" s="60">
        <v>35934</v>
      </c>
    </row>
    <row r="37" spans="1:4" ht="15" x14ac:dyDescent="0.3">
      <c r="A37" s="67" t="s">
        <v>89</v>
      </c>
      <c r="B37" s="58"/>
      <c r="C37" s="58"/>
      <c r="D37" s="58"/>
    </row>
    <row r="38" spans="1:4" ht="15" x14ac:dyDescent="0.3">
      <c r="A38" s="68" t="s">
        <v>90</v>
      </c>
      <c r="B38" s="59">
        <v>18679</v>
      </c>
      <c r="C38" s="59">
        <v>26102</v>
      </c>
      <c r="D38" s="59">
        <v>43369</v>
      </c>
    </row>
    <row r="39" spans="1:4" ht="15" x14ac:dyDescent="0.35">
      <c r="A39" s="75"/>
      <c r="B39" s="24"/>
      <c r="C39" s="24"/>
      <c r="D39" s="24"/>
    </row>
    <row r="40" spans="1:4" x14ac:dyDescent="0.3">
      <c r="A40" s="116"/>
      <c r="B40" s="116"/>
      <c r="C40" s="116"/>
      <c r="D40" s="116"/>
    </row>
  </sheetData>
  <mergeCells count="2">
    <mergeCell ref="B1:D1"/>
    <mergeCell ref="A40:D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E045-B261-466C-B351-B9976B9F4702}">
  <dimension ref="A1:R72"/>
  <sheetViews>
    <sheetView topLeftCell="A10" workbookViewId="0">
      <selection activeCell="A38" sqref="A38"/>
    </sheetView>
  </sheetViews>
  <sheetFormatPr baseColWidth="10" defaultRowHeight="14.4" x14ac:dyDescent="0.3"/>
  <cols>
    <col min="1" max="1" width="35.88671875" bestFit="1" customWidth="1"/>
  </cols>
  <sheetData>
    <row r="1" spans="1:10" x14ac:dyDescent="0.3">
      <c r="A1" s="27" t="s">
        <v>91</v>
      </c>
      <c r="B1" s="27"/>
      <c r="C1" s="27"/>
      <c r="D1" s="27"/>
      <c r="E1" s="27"/>
      <c r="F1" s="27"/>
      <c r="G1" s="27"/>
      <c r="H1" s="27"/>
      <c r="I1" s="27"/>
    </row>
    <row r="2" spans="1:10" x14ac:dyDescent="0.3">
      <c r="A2" s="28" t="s">
        <v>92</v>
      </c>
      <c r="B2" s="29">
        <v>45122</v>
      </c>
      <c r="C2" s="29">
        <v>45489</v>
      </c>
      <c r="D2" s="29">
        <v>45856</v>
      </c>
      <c r="E2" s="29">
        <v>46223</v>
      </c>
      <c r="F2" s="29">
        <v>46590</v>
      </c>
      <c r="G2" s="29">
        <v>46957</v>
      </c>
      <c r="H2" s="29">
        <v>47324</v>
      </c>
      <c r="I2" s="29">
        <v>47691</v>
      </c>
    </row>
    <row r="3" spans="1:10" x14ac:dyDescent="0.3">
      <c r="A3" s="26" t="s">
        <v>93</v>
      </c>
      <c r="B3" s="31">
        <f>'INCOME STATEMENT'!B3</f>
        <v>383285</v>
      </c>
      <c r="C3" s="31">
        <f>'INCOME STATEMENT'!C3</f>
        <v>391035</v>
      </c>
      <c r="D3" s="31">
        <f>'INCOME STATEMENT'!D3</f>
        <v>416161</v>
      </c>
      <c r="E3" s="31">
        <f>D3*(1+E25)</f>
        <v>434888.245</v>
      </c>
      <c r="F3" s="31">
        <f t="shared" ref="F3:I3" si="0">E3*(1+F25)</f>
        <v>454458.21602499997</v>
      </c>
      <c r="G3" s="31">
        <f t="shared" si="0"/>
        <v>474908.83574612491</v>
      </c>
      <c r="H3" s="31">
        <f t="shared" si="0"/>
        <v>496279.7333547005</v>
      </c>
      <c r="I3" s="31">
        <f t="shared" si="0"/>
        <v>518612.32135566196</v>
      </c>
    </row>
    <row r="4" spans="1:10" x14ac:dyDescent="0.3">
      <c r="A4" s="32" t="s">
        <v>94</v>
      </c>
      <c r="B4" s="33">
        <f>'INCOME STATEMENT'!B4</f>
        <v>214137</v>
      </c>
      <c r="C4" s="33">
        <f>'INCOME STATEMENT'!C4</f>
        <v>210352</v>
      </c>
      <c r="D4" s="33">
        <f>'INCOME STATEMENT'!D4</f>
        <v>220960</v>
      </c>
      <c r="E4" s="33">
        <f>E27*E3</f>
        <v>235937.53709765815</v>
      </c>
      <c r="F4" s="33">
        <f t="shared" ref="F4:I4" si="1">F27*F3</f>
        <v>246554.72626705276</v>
      </c>
      <c r="G4" s="33">
        <f t="shared" si="1"/>
        <v>257649.68894907009</v>
      </c>
      <c r="H4" s="33">
        <f t="shared" si="1"/>
        <v>269243.92495177826</v>
      </c>
      <c r="I4" s="33">
        <f t="shared" si="1"/>
        <v>281359.90157460823</v>
      </c>
    </row>
    <row r="5" spans="1:10" x14ac:dyDescent="0.3">
      <c r="A5" s="34" t="s">
        <v>95</v>
      </c>
      <c r="B5" s="35">
        <f>B3-B4</f>
        <v>169148</v>
      </c>
      <c r="C5" s="35">
        <f t="shared" ref="C5:D5" si="2">C3-C4</f>
        <v>180683</v>
      </c>
      <c r="D5" s="35">
        <f t="shared" si="2"/>
        <v>195201</v>
      </c>
      <c r="E5" s="35">
        <f t="shared" ref="E5" si="3">E3-E4</f>
        <v>198950.70790234185</v>
      </c>
      <c r="F5" s="35">
        <f t="shared" ref="F5" si="4">F3-F4</f>
        <v>207903.48975794722</v>
      </c>
      <c r="G5" s="35">
        <f t="shared" ref="G5" si="5">G3-G4</f>
        <v>217259.14679705483</v>
      </c>
      <c r="H5" s="35">
        <f t="shared" ref="H5" si="6">H3-H4</f>
        <v>227035.80840292224</v>
      </c>
      <c r="I5" s="35">
        <f t="shared" ref="I5" si="7">I3-I4</f>
        <v>237252.41978105373</v>
      </c>
    </row>
    <row r="6" spans="1:10" x14ac:dyDescent="0.3">
      <c r="A6" s="26" t="s">
        <v>96</v>
      </c>
      <c r="B6" s="31"/>
      <c r="C6" s="31"/>
      <c r="D6" s="31"/>
      <c r="E6" s="31"/>
      <c r="F6" s="31"/>
      <c r="G6" s="31"/>
      <c r="H6" s="31"/>
      <c r="I6" s="31"/>
    </row>
    <row r="7" spans="1:10" x14ac:dyDescent="0.3">
      <c r="A7" s="26" t="s">
        <v>97</v>
      </c>
      <c r="B7" s="31">
        <f>'INCOME STATEMENT'!B8</f>
        <v>24932</v>
      </c>
      <c r="C7" s="31">
        <f>'INCOME STATEMENT'!C8</f>
        <v>26097</v>
      </c>
      <c r="D7" s="31">
        <f>'INCOME STATEMENT'!D8</f>
        <v>27601</v>
      </c>
      <c r="E7" s="31">
        <f>E3*E28</f>
        <v>28718.477687361919</v>
      </c>
      <c r="F7" s="31">
        <f t="shared" ref="F7:I7" si="8">F3*F28</f>
        <v>30010.809183293204</v>
      </c>
      <c r="G7" s="31">
        <f t="shared" si="8"/>
        <v>31361.295596541393</v>
      </c>
      <c r="H7" s="31">
        <f t="shared" si="8"/>
        <v>32772.553898385755</v>
      </c>
      <c r="I7" s="31">
        <f t="shared" si="8"/>
        <v>34247.318823813112</v>
      </c>
    </row>
    <row r="8" spans="1:10" x14ac:dyDescent="0.3">
      <c r="A8" s="26" t="s">
        <v>10</v>
      </c>
      <c r="B8" s="42">
        <f>'INCOME STATEMENT'!B7</f>
        <v>29915</v>
      </c>
      <c r="C8" s="42">
        <f>'INCOME STATEMENT'!C7</f>
        <v>31370</v>
      </c>
      <c r="D8" s="42">
        <f>'INCOME STATEMENT'!D7</f>
        <v>34550</v>
      </c>
      <c r="E8" s="31">
        <f>E3*E29</f>
        <v>34978.456325366227</v>
      </c>
      <c r="F8" s="31">
        <f t="shared" ref="F8:I8" si="9">F3*F29</f>
        <v>36552.486860007702</v>
      </c>
      <c r="G8" s="31">
        <f t="shared" si="9"/>
        <v>38197.348768708049</v>
      </c>
      <c r="H8" s="31">
        <f t="shared" si="9"/>
        <v>39916.229463299904</v>
      </c>
      <c r="I8" s="31">
        <f t="shared" si="9"/>
        <v>41712.459789148394</v>
      </c>
    </row>
    <row r="9" spans="1:10" x14ac:dyDescent="0.3">
      <c r="A9" s="32" t="s">
        <v>98</v>
      </c>
      <c r="B9" s="33">
        <f>SUM(B7:B8)</f>
        <v>54847</v>
      </c>
      <c r="C9" s="33">
        <f t="shared" ref="C9:D9" si="10">SUM(C7:C8)</f>
        <v>57467</v>
      </c>
      <c r="D9" s="33">
        <f t="shared" si="10"/>
        <v>62151</v>
      </c>
      <c r="E9" s="33">
        <f t="shared" ref="E9" si="11">SUM(E7:E8)</f>
        <v>63696.934012728147</v>
      </c>
      <c r="F9" s="33">
        <f t="shared" ref="F9" si="12">SUM(F7:F8)</f>
        <v>66563.296043300914</v>
      </c>
      <c r="G9" s="33">
        <f t="shared" ref="G9" si="13">SUM(G7:G8)</f>
        <v>69558.644365249434</v>
      </c>
      <c r="H9" s="33">
        <f t="shared" ref="H9" si="14">SUM(H7:H8)</f>
        <v>72688.783361685666</v>
      </c>
      <c r="I9" s="33">
        <f t="shared" ref="I9" si="15">SUM(I7:I8)</f>
        <v>75959.778612961498</v>
      </c>
    </row>
    <row r="10" spans="1:10" x14ac:dyDescent="0.3">
      <c r="A10" s="34" t="s">
        <v>99</v>
      </c>
      <c r="B10" s="35">
        <f>B5-B9</f>
        <v>114301</v>
      </c>
      <c r="C10" s="35">
        <f t="shared" ref="C10:D10" si="16">C5-C9</f>
        <v>123216</v>
      </c>
      <c r="D10" s="35">
        <f t="shared" si="16"/>
        <v>133050</v>
      </c>
      <c r="E10" s="35">
        <f t="shared" ref="E10" si="17">E5-E9</f>
        <v>135253.77388961369</v>
      </c>
      <c r="F10" s="35">
        <f t="shared" ref="F10" si="18">F5-F9</f>
        <v>141340.1937146463</v>
      </c>
      <c r="G10" s="35">
        <f t="shared" ref="G10" si="19">G5-G9</f>
        <v>147700.50243180539</v>
      </c>
      <c r="H10" s="35">
        <f t="shared" ref="H10" si="20">H5-H9</f>
        <v>154347.02504123657</v>
      </c>
      <c r="I10" s="35">
        <f t="shared" ref="I10" si="21">I5-I9</f>
        <v>161292.64116809223</v>
      </c>
    </row>
    <row r="11" spans="1:10" x14ac:dyDescent="0.3">
      <c r="A11" s="32" t="s">
        <v>100</v>
      </c>
      <c r="B11" s="25">
        <v>11519</v>
      </c>
      <c r="C11" s="25">
        <v>11445</v>
      </c>
      <c r="D11" s="25">
        <v>11698</v>
      </c>
      <c r="E11" s="25">
        <f>E36</f>
        <v>13146.130691358723</v>
      </c>
      <c r="F11" s="25">
        <f t="shared" ref="F11:I11" si="22">F36</f>
        <v>13907.857477994809</v>
      </c>
      <c r="G11" s="25">
        <f t="shared" si="22"/>
        <v>14713.721030885648</v>
      </c>
      <c r="H11" s="25">
        <f t="shared" si="22"/>
        <v>15566.278768477861</v>
      </c>
      <c r="I11" s="25">
        <f t="shared" si="22"/>
        <v>16468.236293819387</v>
      </c>
    </row>
    <row r="12" spans="1:10" x14ac:dyDescent="0.3">
      <c r="A12" s="34" t="s">
        <v>101</v>
      </c>
      <c r="B12" s="35">
        <f>B10-B11</f>
        <v>102782</v>
      </c>
      <c r="C12" s="35">
        <f t="shared" ref="C12:D12" si="23">C10-C11</f>
        <v>111771</v>
      </c>
      <c r="D12" s="35">
        <f t="shared" si="23"/>
        <v>121352</v>
      </c>
      <c r="E12" s="35">
        <f>E10-E11</f>
        <v>122107.64319825497</v>
      </c>
      <c r="F12" s="35">
        <f t="shared" ref="F12" si="24">F10-F11</f>
        <v>127432.33623665149</v>
      </c>
      <c r="G12" s="35">
        <f t="shared" ref="G12" si="25">G10-G11</f>
        <v>132986.78140091975</v>
      </c>
      <c r="H12" s="35">
        <f t="shared" ref="H12" si="26">H10-H11</f>
        <v>138780.7462727587</v>
      </c>
      <c r="I12" s="35">
        <f t="shared" ref="I12" si="27">I10-I11</f>
        <v>144824.40487427285</v>
      </c>
    </row>
    <row r="13" spans="1:10" x14ac:dyDescent="0.3">
      <c r="A13" s="32" t="s">
        <v>102</v>
      </c>
      <c r="B13" s="33">
        <v>16741</v>
      </c>
      <c r="C13" s="33">
        <v>29749</v>
      </c>
      <c r="D13" s="33">
        <v>20719</v>
      </c>
      <c r="E13" s="95">
        <f>E12*E30</f>
        <v>24412.318077803044</v>
      </c>
      <c r="F13" s="95">
        <f>F12*F30</f>
        <v>25476.855044657357</v>
      </c>
      <c r="G13" s="95">
        <f t="shared" ref="G13:I13" si="28">G12*G30</f>
        <v>26587.32510651643</v>
      </c>
      <c r="H13" s="95">
        <f t="shared" si="28"/>
        <v>27745.681042952776</v>
      </c>
      <c r="I13" s="95">
        <f t="shared" si="28"/>
        <v>28953.956890962283</v>
      </c>
      <c r="J13" s="33"/>
    </row>
    <row r="14" spans="1:10" x14ac:dyDescent="0.3">
      <c r="A14" s="34" t="s">
        <v>103</v>
      </c>
      <c r="B14" s="35">
        <f>B12-B13</f>
        <v>86041</v>
      </c>
      <c r="C14" s="35">
        <f t="shared" ref="C14:D14" si="29">C12-C13</f>
        <v>82022</v>
      </c>
      <c r="D14" s="35">
        <f t="shared" si="29"/>
        <v>100633</v>
      </c>
      <c r="E14" s="35">
        <f>E12-E13</f>
        <v>97695.325120451918</v>
      </c>
      <c r="F14" s="35">
        <f t="shared" ref="F14" si="30">F12-F13</f>
        <v>101955.48119199413</v>
      </c>
      <c r="G14" s="35">
        <f t="shared" ref="G14" si="31">G12-G13</f>
        <v>106399.45629440332</v>
      </c>
      <c r="H14" s="35">
        <f t="shared" ref="H14" si="32">H12-H13</f>
        <v>111035.06522980591</v>
      </c>
      <c r="I14" s="35">
        <f t="shared" ref="I14" si="33">I12-I13</f>
        <v>115870.44798331056</v>
      </c>
    </row>
    <row r="15" spans="1:10" x14ac:dyDescent="0.3">
      <c r="A15" s="26" t="s">
        <v>104</v>
      </c>
      <c r="B15" s="31">
        <f>B11</f>
        <v>11519</v>
      </c>
      <c r="C15" s="31">
        <f t="shared" ref="C15:D15" si="34">C11</f>
        <v>11445</v>
      </c>
      <c r="D15" s="31">
        <f t="shared" si="34"/>
        <v>11698</v>
      </c>
      <c r="E15" s="31">
        <f>E36</f>
        <v>13146.130691358723</v>
      </c>
      <c r="F15" s="31">
        <f t="shared" ref="F15:I15" si="35">F36</f>
        <v>13907.857477994809</v>
      </c>
      <c r="G15" s="31">
        <f t="shared" si="35"/>
        <v>14713.721030885648</v>
      </c>
      <c r="H15" s="31">
        <f t="shared" si="35"/>
        <v>15566.278768477861</v>
      </c>
      <c r="I15" s="31">
        <f t="shared" si="35"/>
        <v>16468.236293819387</v>
      </c>
    </row>
    <row r="16" spans="1:10" x14ac:dyDescent="0.3">
      <c r="A16" s="26" t="s">
        <v>105</v>
      </c>
      <c r="B16" s="31">
        <v>-10959</v>
      </c>
      <c r="C16" s="31">
        <v>-9447</v>
      </c>
      <c r="D16" s="31">
        <v>-12715</v>
      </c>
      <c r="E16" s="31">
        <f>-78%*E37</f>
        <v>-12506.258064426904</v>
      </c>
      <c r="F16" s="31">
        <f t="shared" ref="F16:I16" si="36">-78%*F37</f>
        <v>-13230.908685352151</v>
      </c>
      <c r="G16" s="31">
        <f t="shared" si="36"/>
        <v>-13997.547766750722</v>
      </c>
      <c r="H16" s="31">
        <f t="shared" si="36"/>
        <v>-14808.608247699747</v>
      </c>
      <c r="I16" s="31">
        <f t="shared" si="36"/>
        <v>-15666.664039164505</v>
      </c>
    </row>
    <row r="17" spans="1:18" x14ac:dyDescent="0.3">
      <c r="A17" s="26" t="s">
        <v>106</v>
      </c>
      <c r="B17" s="2">
        <v>16835</v>
      </c>
      <c r="C17" s="31">
        <f>C18-B18</f>
        <v>-21563</v>
      </c>
      <c r="D17" s="31">
        <f>D18-C18</f>
        <v>15308</v>
      </c>
      <c r="E17" s="31">
        <f t="shared" ref="E17:I17" si="37">E18-D18</f>
        <v>-3513.3233253634826</v>
      </c>
      <c r="F17" s="31">
        <f t="shared" si="37"/>
        <v>-3993.0895496413577</v>
      </c>
      <c r="G17" s="31">
        <f t="shared" si="37"/>
        <v>-4172.7785793751973</v>
      </c>
      <c r="H17" s="31">
        <f t="shared" si="37"/>
        <v>-4360.5536154471629</v>
      </c>
      <c r="I17" s="31">
        <f t="shared" si="37"/>
        <v>-4556.7785281421529</v>
      </c>
      <c r="K17" s="102"/>
      <c r="L17" s="102"/>
      <c r="M17" s="102"/>
      <c r="N17" s="103"/>
    </row>
    <row r="18" spans="1:18" x14ac:dyDescent="0.3">
      <c r="A18" s="36" t="s">
        <v>107</v>
      </c>
      <c r="B18" s="31">
        <f>B19-B20</f>
        <v>-78967</v>
      </c>
      <c r="C18" s="31">
        <f>C19-C20</f>
        <v>-100530</v>
      </c>
      <c r="D18" s="31">
        <f t="shared" ref="D18" si="38">D19-D20</f>
        <v>-85222</v>
      </c>
      <c r="E18" s="31">
        <f t="shared" ref="E18" si="39">E19-E20</f>
        <v>-88735.323325363483</v>
      </c>
      <c r="F18" s="31">
        <f t="shared" ref="F18" si="40">F19-F20</f>
        <v>-92728.41287500484</v>
      </c>
      <c r="G18" s="31">
        <f t="shared" ref="G18" si="41">G19-G20</f>
        <v>-96901.191454380038</v>
      </c>
      <c r="H18" s="31">
        <f t="shared" ref="H18" si="42">H19-H20</f>
        <v>-101261.7450698272</v>
      </c>
      <c r="I18" s="31">
        <f t="shared" ref="I18" si="43">I19-I20</f>
        <v>-105818.52359796935</v>
      </c>
    </row>
    <row r="19" spans="1:18" x14ac:dyDescent="0.3">
      <c r="A19" s="36" t="s">
        <v>108</v>
      </c>
      <c r="B19" s="31">
        <f>C52</f>
        <v>50534</v>
      </c>
      <c r="C19" s="31">
        <f t="shared" ref="C19:I19" si="44">D52</f>
        <v>54983</v>
      </c>
      <c r="D19" s="31">
        <f t="shared" si="44"/>
        <v>60080</v>
      </c>
      <c r="E19" s="31">
        <f t="shared" si="44"/>
        <v>60303.515381760109</v>
      </c>
      <c r="F19" s="31">
        <f t="shared" si="44"/>
        <v>63017.173573939304</v>
      </c>
      <c r="G19" s="31">
        <f t="shared" si="44"/>
        <v>65852.946384766561</v>
      </c>
      <c r="H19" s="31">
        <f t="shared" si="44"/>
        <v>68816.328972081057</v>
      </c>
      <c r="I19" s="31">
        <f t="shared" si="44"/>
        <v>71913.063775824703</v>
      </c>
    </row>
    <row r="20" spans="1:18" x14ac:dyDescent="0.3">
      <c r="A20" s="36" t="s">
        <v>109</v>
      </c>
      <c r="B20" s="31">
        <f>C57</f>
        <v>129501</v>
      </c>
      <c r="C20" s="31">
        <f t="shared" ref="C20:I20" si="45">D57</f>
        <v>155513</v>
      </c>
      <c r="D20" s="31">
        <f t="shared" si="45"/>
        <v>145302</v>
      </c>
      <c r="E20" s="31">
        <f t="shared" si="45"/>
        <v>149038.83870712359</v>
      </c>
      <c r="F20" s="31">
        <f t="shared" si="45"/>
        <v>155745.58644894414</v>
      </c>
      <c r="G20" s="31">
        <f t="shared" si="45"/>
        <v>162754.1378391466</v>
      </c>
      <c r="H20" s="31">
        <f t="shared" si="45"/>
        <v>170078.07404190826</v>
      </c>
      <c r="I20" s="31">
        <f t="shared" si="45"/>
        <v>177731.58737379406</v>
      </c>
    </row>
    <row r="21" spans="1:18" x14ac:dyDescent="0.3">
      <c r="A21" s="37" t="s">
        <v>110</v>
      </c>
      <c r="B21" s="38">
        <f>SUM(B14:B17)</f>
        <v>103436</v>
      </c>
      <c r="C21" s="38">
        <f t="shared" ref="C21" si="46">SUM(C14:C17)</f>
        <v>62457</v>
      </c>
      <c r="D21" s="38">
        <f>SUM(D14:D17)</f>
        <v>114924</v>
      </c>
      <c r="E21" s="38">
        <f>SUM(E14:E17)</f>
        <v>94821.87442202025</v>
      </c>
      <c r="F21" s="38">
        <f t="shared" ref="F21:H21" si="47">SUM(F14:F17)</f>
        <v>98639.340434995422</v>
      </c>
      <c r="G21" s="38">
        <f t="shared" si="47"/>
        <v>102942.85097916305</v>
      </c>
      <c r="H21" s="38">
        <f t="shared" si="47"/>
        <v>107432.18213513686</v>
      </c>
      <c r="I21" s="38">
        <f>SUM(I14:I17)</f>
        <v>112115.24170982328</v>
      </c>
    </row>
    <row r="23" spans="1:18" x14ac:dyDescent="0.3">
      <c r="A23" s="27" t="s">
        <v>111</v>
      </c>
      <c r="B23" s="27"/>
      <c r="C23" s="27"/>
      <c r="D23" s="27"/>
      <c r="E23" s="27"/>
      <c r="F23" s="27"/>
      <c r="G23" s="27"/>
      <c r="H23" s="27"/>
      <c r="I23" s="27"/>
      <c r="K23" s="129" t="s">
        <v>165</v>
      </c>
      <c r="L23" s="130"/>
      <c r="M23" s="130"/>
      <c r="N23" s="130"/>
      <c r="O23" s="130"/>
      <c r="P23" s="130"/>
      <c r="Q23" s="130"/>
      <c r="R23" s="131"/>
    </row>
    <row r="24" spans="1:18" ht="14.4" customHeight="1" x14ac:dyDescent="0.3">
      <c r="A24" s="28" t="s">
        <v>92</v>
      </c>
      <c r="B24" s="29">
        <v>43830</v>
      </c>
      <c r="C24" s="29">
        <v>44196</v>
      </c>
      <c r="D24" s="29">
        <v>44561</v>
      </c>
      <c r="E24" s="30">
        <v>44926</v>
      </c>
      <c r="F24" s="30">
        <v>45291</v>
      </c>
      <c r="G24" s="30">
        <v>45657</v>
      </c>
      <c r="H24" s="30">
        <v>46022</v>
      </c>
      <c r="I24" s="30">
        <v>46387</v>
      </c>
      <c r="K24" s="132" t="s">
        <v>166</v>
      </c>
      <c r="L24" s="132"/>
      <c r="M24" s="132"/>
      <c r="N24" s="132"/>
      <c r="O24" s="132"/>
      <c r="P24" s="132"/>
      <c r="Q24" s="132"/>
      <c r="R24" s="132"/>
    </row>
    <row r="25" spans="1:18" x14ac:dyDescent="0.3">
      <c r="A25" s="39" t="s">
        <v>112</v>
      </c>
      <c r="B25" s="118" t="s">
        <v>131</v>
      </c>
      <c r="C25" s="119"/>
      <c r="D25" s="94">
        <f>3.27%+1.23%</f>
        <v>4.4999999999999998E-2</v>
      </c>
      <c r="E25" s="40">
        <f>$D$25</f>
        <v>4.4999999999999998E-2</v>
      </c>
      <c r="F25" s="40">
        <f t="shared" ref="F25:I25" si="48">$D$25</f>
        <v>4.4999999999999998E-2</v>
      </c>
      <c r="G25" s="40">
        <f t="shared" si="48"/>
        <v>4.4999999999999998E-2</v>
      </c>
      <c r="H25" s="40">
        <f t="shared" si="48"/>
        <v>4.4999999999999998E-2</v>
      </c>
      <c r="I25" s="40">
        <f t="shared" si="48"/>
        <v>4.4999999999999998E-2</v>
      </c>
      <c r="K25" s="133"/>
      <c r="L25" s="133"/>
      <c r="M25" s="133"/>
      <c r="N25" s="133"/>
      <c r="O25" s="133"/>
      <c r="P25" s="133"/>
      <c r="Q25" s="133"/>
      <c r="R25" s="133"/>
    </row>
    <row r="26" spans="1:18" x14ac:dyDescent="0.3">
      <c r="A26" s="39"/>
      <c r="B26" s="39"/>
      <c r="C26" s="39"/>
      <c r="D26" s="39"/>
      <c r="E26" s="39"/>
      <c r="F26" s="39"/>
      <c r="G26" s="39"/>
      <c r="H26" s="39"/>
      <c r="I26" s="39"/>
      <c r="K26" s="133"/>
      <c r="L26" s="133"/>
      <c r="M26" s="133"/>
      <c r="N26" s="133"/>
      <c r="O26" s="133"/>
      <c r="P26" s="133"/>
      <c r="Q26" s="133"/>
      <c r="R26" s="133"/>
    </row>
    <row r="27" spans="1:18" x14ac:dyDescent="0.3">
      <c r="A27" s="39" t="s">
        <v>113</v>
      </c>
      <c r="B27" s="40">
        <f>B4/B3</f>
        <v>0.55868870422792438</v>
      </c>
      <c r="C27" s="40">
        <f t="shared" ref="C27:D27" si="49">C4/C3</f>
        <v>0.53793650184766073</v>
      </c>
      <c r="D27" s="40">
        <f t="shared" si="49"/>
        <v>0.53094835892839554</v>
      </c>
      <c r="E27" s="40">
        <f>AVERAGE($B$27:$D$27)</f>
        <v>0.54252452166799348</v>
      </c>
      <c r="F27" s="40">
        <f t="shared" ref="F27:I27" si="50">AVERAGE($B$27:$D$27)</f>
        <v>0.54252452166799348</v>
      </c>
      <c r="G27" s="40">
        <f t="shared" si="50"/>
        <v>0.54252452166799348</v>
      </c>
      <c r="H27" s="40">
        <f t="shared" si="50"/>
        <v>0.54252452166799348</v>
      </c>
      <c r="I27" s="40">
        <f t="shared" si="50"/>
        <v>0.54252452166799348</v>
      </c>
      <c r="K27" s="133"/>
      <c r="L27" s="133"/>
      <c r="M27" s="133"/>
      <c r="N27" s="133"/>
      <c r="O27" s="133"/>
      <c r="P27" s="133"/>
      <c r="Q27" s="133"/>
      <c r="R27" s="133"/>
    </row>
    <row r="28" spans="1:18" x14ac:dyDescent="0.3">
      <c r="A28" s="39" t="s">
        <v>114</v>
      </c>
      <c r="B28" s="40">
        <f>B7/B3</f>
        <v>6.5048201729783317E-2</v>
      </c>
      <c r="C28" s="40">
        <f t="shared" ref="C28:D28" si="51">C7/C3</f>
        <v>6.6738271510222866E-2</v>
      </c>
      <c r="D28" s="40">
        <f t="shared" si="51"/>
        <v>6.6322889458647019E-2</v>
      </c>
      <c r="E28" s="40">
        <f>AVERAGE($B$28:$D$28)</f>
        <v>6.6036454232884401E-2</v>
      </c>
      <c r="F28" s="40">
        <f t="shared" ref="F28:I28" si="52">AVERAGE($B$28:$D$28)</f>
        <v>6.6036454232884401E-2</v>
      </c>
      <c r="G28" s="40">
        <f t="shared" si="52"/>
        <v>6.6036454232884401E-2</v>
      </c>
      <c r="H28" s="40">
        <f t="shared" si="52"/>
        <v>6.6036454232884401E-2</v>
      </c>
      <c r="I28" s="40">
        <f t="shared" si="52"/>
        <v>6.6036454232884401E-2</v>
      </c>
      <c r="K28" s="133"/>
      <c r="L28" s="133"/>
      <c r="M28" s="133"/>
      <c r="N28" s="133"/>
      <c r="O28" s="133"/>
      <c r="P28" s="133"/>
      <c r="Q28" s="133"/>
      <c r="R28" s="133"/>
    </row>
    <row r="29" spans="1:18" x14ac:dyDescent="0.3">
      <c r="A29" s="26" t="s">
        <v>10</v>
      </c>
      <c r="B29" s="40">
        <f>B8/B3</f>
        <v>7.8048971392045086E-2</v>
      </c>
      <c r="C29" s="40">
        <f t="shared" ref="C29:D29" si="53">C8/C3</f>
        <v>8.0222997941360744E-2</v>
      </c>
      <c r="D29" s="40">
        <f t="shared" si="53"/>
        <v>8.3020753987038676E-2</v>
      </c>
      <c r="E29" s="40">
        <f>AVERAGE($B$29:$D$29)</f>
        <v>8.0430907773481497E-2</v>
      </c>
      <c r="F29" s="40">
        <f t="shared" ref="F29:I29" si="54">AVERAGE($B$29:$D$29)</f>
        <v>8.0430907773481497E-2</v>
      </c>
      <c r="G29" s="40">
        <f t="shared" si="54"/>
        <v>8.0430907773481497E-2</v>
      </c>
      <c r="H29" s="40">
        <f t="shared" si="54"/>
        <v>8.0430907773481497E-2</v>
      </c>
      <c r="I29" s="40">
        <f t="shared" si="54"/>
        <v>8.0430907773481497E-2</v>
      </c>
      <c r="K29" s="133"/>
      <c r="L29" s="133"/>
      <c r="M29" s="133"/>
      <c r="N29" s="133"/>
      <c r="O29" s="133"/>
      <c r="P29" s="133"/>
      <c r="Q29" s="133"/>
      <c r="R29" s="133"/>
    </row>
    <row r="30" spans="1:18" x14ac:dyDescent="0.3">
      <c r="A30" s="39" t="s">
        <v>115</v>
      </c>
      <c r="B30" s="40">
        <f>B13/B12</f>
        <v>0.16287871417174213</v>
      </c>
      <c r="C30" s="40">
        <f>C13/C12</f>
        <v>0.26616027413193044</v>
      </c>
      <c r="D30" s="40">
        <f>D13/D12</f>
        <v>0.17073472213066121</v>
      </c>
      <c r="E30" s="40">
        <f>AVERAGE($B$30:$D$30)</f>
        <v>0.19992457014477794</v>
      </c>
      <c r="F30" s="40">
        <f>AVERAGE($B$30:$D$30)</f>
        <v>0.19992457014477794</v>
      </c>
      <c r="G30" s="40">
        <f>AVERAGE($B$30:$D$30)</f>
        <v>0.19992457014477794</v>
      </c>
      <c r="H30" s="40">
        <f>AVERAGE($B$30:$D$30)</f>
        <v>0.19992457014477794</v>
      </c>
      <c r="I30" s="40">
        <f>AVERAGE($B$30:$D$30)</f>
        <v>0.19992457014477794</v>
      </c>
      <c r="K30" s="133"/>
      <c r="L30" s="133"/>
      <c r="M30" s="133"/>
      <c r="N30" s="133"/>
      <c r="O30" s="133"/>
      <c r="P30" s="133"/>
      <c r="Q30" s="133"/>
      <c r="R30" s="133"/>
    </row>
    <row r="31" spans="1:18" x14ac:dyDescent="0.3">
      <c r="K31" s="133"/>
      <c r="L31" s="133"/>
      <c r="M31" s="133"/>
      <c r="N31" s="133"/>
      <c r="O31" s="133"/>
      <c r="P31" s="133"/>
      <c r="Q31" s="133"/>
      <c r="R31" s="133"/>
    </row>
    <row r="32" spans="1:18" x14ac:dyDescent="0.3">
      <c r="K32" s="133"/>
      <c r="L32" s="133"/>
      <c r="M32" s="133"/>
      <c r="N32" s="133"/>
      <c r="O32" s="133"/>
      <c r="P32" s="133"/>
      <c r="Q32" s="133"/>
      <c r="R32" s="133"/>
    </row>
    <row r="33" spans="1:18" x14ac:dyDescent="0.3">
      <c r="A33" s="27" t="s">
        <v>116</v>
      </c>
      <c r="B33" s="27"/>
      <c r="C33" s="27"/>
      <c r="D33" s="27"/>
      <c r="E33" s="27"/>
      <c r="F33" s="27"/>
      <c r="G33" s="27"/>
      <c r="H33" s="27"/>
      <c r="I33" s="27"/>
      <c r="K33" s="133"/>
      <c r="L33" s="133"/>
      <c r="M33" s="133"/>
      <c r="N33" s="133"/>
      <c r="O33" s="133"/>
      <c r="P33" s="133"/>
      <c r="Q33" s="133"/>
      <c r="R33" s="133"/>
    </row>
    <row r="34" spans="1:18" x14ac:dyDescent="0.3">
      <c r="A34" s="28" t="s">
        <v>92</v>
      </c>
      <c r="B34" s="29">
        <v>45122</v>
      </c>
      <c r="C34" s="29">
        <v>45489</v>
      </c>
      <c r="D34" s="29">
        <v>45856</v>
      </c>
      <c r="E34" s="29">
        <v>46223</v>
      </c>
      <c r="F34" s="29">
        <v>46590</v>
      </c>
      <c r="G34" s="29">
        <v>46957</v>
      </c>
      <c r="H34" s="29">
        <v>47324</v>
      </c>
      <c r="I34" s="29">
        <v>47691</v>
      </c>
      <c r="K34" s="133"/>
      <c r="L34" s="133"/>
      <c r="M34" s="133"/>
      <c r="N34" s="133"/>
      <c r="O34" s="133"/>
      <c r="P34" s="133"/>
      <c r="Q34" s="133"/>
      <c r="R34" s="133"/>
    </row>
    <row r="35" spans="1:18" x14ac:dyDescent="0.3">
      <c r="A35" s="76" t="s">
        <v>117</v>
      </c>
      <c r="B35" s="77">
        <v>42117</v>
      </c>
      <c r="C35" s="77">
        <v>43715</v>
      </c>
      <c r="D35" s="77">
        <v>45680</v>
      </c>
      <c r="E35" s="77">
        <f>D38</f>
        <v>49834</v>
      </c>
      <c r="F35" s="77">
        <f>E38</f>
        <v>52721.533493803974</v>
      </c>
      <c r="G35" s="77">
        <f t="shared" ref="G35:I35" si="55">F38</f>
        <v>55776.379458568335</v>
      </c>
      <c r="H35" s="77">
        <f t="shared" si="55"/>
        <v>59008.232487619513</v>
      </c>
      <c r="I35" s="77">
        <f t="shared" si="55"/>
        <v>62427.348908500302</v>
      </c>
      <c r="K35" s="133"/>
      <c r="L35" s="133"/>
      <c r="M35" s="133"/>
      <c r="N35" s="133"/>
      <c r="O35" s="133"/>
      <c r="P35" s="133"/>
      <c r="Q35" s="133"/>
      <c r="R35" s="133"/>
    </row>
    <row r="36" spans="1:18" x14ac:dyDescent="0.3">
      <c r="A36" s="76" t="s">
        <v>118</v>
      </c>
      <c r="B36" s="77">
        <v>11519</v>
      </c>
      <c r="C36" s="77">
        <v>11445</v>
      </c>
      <c r="D36" s="77">
        <v>11698</v>
      </c>
      <c r="E36" s="77">
        <f>E35*E42</f>
        <v>13146.130691358723</v>
      </c>
      <c r="F36" s="77">
        <f t="shared" ref="F36:I36" si="56">F35*F42</f>
        <v>13907.857477994809</v>
      </c>
      <c r="G36" s="77">
        <f t="shared" si="56"/>
        <v>14713.721030885648</v>
      </c>
      <c r="H36" s="77">
        <f t="shared" si="56"/>
        <v>15566.278768477861</v>
      </c>
      <c r="I36" s="77">
        <f t="shared" si="56"/>
        <v>16468.236293819387</v>
      </c>
      <c r="K36" s="133"/>
      <c r="L36" s="133"/>
      <c r="M36" s="133"/>
      <c r="N36" s="133"/>
      <c r="O36" s="133"/>
      <c r="P36" s="133"/>
      <c r="Q36" s="133"/>
      <c r="R36" s="133"/>
    </row>
    <row r="37" spans="1:18" x14ac:dyDescent="0.3">
      <c r="A37" s="76" t="s">
        <v>119</v>
      </c>
      <c r="B37" s="77">
        <f>B38-B35+B36</f>
        <v>13117</v>
      </c>
      <c r="C37" s="77">
        <f t="shared" ref="C37:D37" si="57">C38-C35+C36</f>
        <v>13410</v>
      </c>
      <c r="D37" s="77">
        <f t="shared" si="57"/>
        <v>15852</v>
      </c>
      <c r="E37" s="77">
        <f>E35*E43</f>
        <v>16033.664185162697</v>
      </c>
      <c r="F37" s="77">
        <f t="shared" ref="F37:I37" si="58">F35*F43</f>
        <v>16962.703442759168</v>
      </c>
      <c r="G37" s="77">
        <f t="shared" si="58"/>
        <v>17945.574059936822</v>
      </c>
      <c r="H37" s="77">
        <f t="shared" si="58"/>
        <v>18985.395189358649</v>
      </c>
      <c r="I37" s="77">
        <f t="shared" si="58"/>
        <v>20085.46671687757</v>
      </c>
      <c r="K37" s="133"/>
      <c r="L37" s="133"/>
      <c r="M37" s="133"/>
      <c r="N37" s="133"/>
      <c r="O37" s="133"/>
      <c r="P37" s="133"/>
      <c r="Q37" s="133"/>
      <c r="R37" s="133"/>
    </row>
    <row r="38" spans="1:18" x14ac:dyDescent="0.3">
      <c r="A38" s="78" t="s">
        <v>120</v>
      </c>
      <c r="B38" s="79">
        <v>43715</v>
      </c>
      <c r="C38" s="79">
        <v>45680</v>
      </c>
      <c r="D38" s="79">
        <v>49834</v>
      </c>
      <c r="E38" s="79">
        <f>E35-E36+E37</f>
        <v>52721.533493803974</v>
      </c>
      <c r="F38" s="79">
        <f t="shared" ref="F38:I38" si="59">F35-F36+F37</f>
        <v>55776.379458568335</v>
      </c>
      <c r="G38" s="79">
        <f t="shared" si="59"/>
        <v>59008.232487619513</v>
      </c>
      <c r="H38" s="79">
        <f t="shared" si="59"/>
        <v>62427.348908500302</v>
      </c>
      <c r="I38" s="79">
        <f t="shared" si="59"/>
        <v>66044.579331558489</v>
      </c>
      <c r="K38" s="133"/>
      <c r="L38" s="133"/>
      <c r="M38" s="133"/>
      <c r="N38" s="133"/>
      <c r="O38" s="133"/>
      <c r="P38" s="133"/>
      <c r="Q38" s="133"/>
      <c r="R38" s="133"/>
    </row>
    <row r="39" spans="1:18" x14ac:dyDescent="0.3">
      <c r="D39" s="77"/>
      <c r="K39" s="133"/>
      <c r="L39" s="133"/>
      <c r="M39" s="133"/>
      <c r="N39" s="133"/>
      <c r="O39" s="133"/>
      <c r="P39" s="133"/>
      <c r="Q39" s="133"/>
      <c r="R39" s="133"/>
    </row>
    <row r="40" spans="1:18" x14ac:dyDescent="0.3">
      <c r="A40" s="27" t="s">
        <v>111</v>
      </c>
      <c r="B40" s="27"/>
      <c r="C40" s="27"/>
      <c r="D40" s="27"/>
      <c r="E40" s="27"/>
      <c r="F40" s="27"/>
      <c r="G40" s="27"/>
      <c r="H40" s="27"/>
      <c r="I40" s="27"/>
      <c r="K40" s="133"/>
      <c r="L40" s="133"/>
      <c r="M40" s="133"/>
      <c r="N40" s="133"/>
      <c r="O40" s="133"/>
      <c r="P40" s="133"/>
      <c r="Q40" s="133"/>
      <c r="R40" s="133"/>
    </row>
    <row r="41" spans="1:18" x14ac:dyDescent="0.3">
      <c r="A41" s="28" t="s">
        <v>92</v>
      </c>
      <c r="B41" s="29">
        <v>45122</v>
      </c>
      <c r="C41" s="29">
        <v>45489</v>
      </c>
      <c r="D41" s="29">
        <v>45856</v>
      </c>
      <c r="E41" s="29">
        <v>46223</v>
      </c>
      <c r="F41" s="29">
        <v>46590</v>
      </c>
      <c r="G41" s="29">
        <v>46957</v>
      </c>
      <c r="H41" s="29">
        <v>47324</v>
      </c>
      <c r="I41" s="29">
        <v>47691</v>
      </c>
    </row>
    <row r="42" spans="1:18" x14ac:dyDescent="0.3">
      <c r="A42" s="39" t="s">
        <v>121</v>
      </c>
      <c r="B42" s="40">
        <f>B36/B35</f>
        <v>0.27350001187169076</v>
      </c>
      <c r="C42" s="40">
        <f t="shared" ref="C42:D42" si="60">C36/C35</f>
        <v>0.26180944755804642</v>
      </c>
      <c r="D42" s="40">
        <f t="shared" si="60"/>
        <v>0.2560858143607706</v>
      </c>
      <c r="E42" s="40">
        <f>AVERAGE($B$42:$D$42)</f>
        <v>0.26379842459683595</v>
      </c>
      <c r="F42" s="40">
        <f t="shared" ref="F42:I42" si="61">AVERAGE($B$42:$D$42)</f>
        <v>0.26379842459683595</v>
      </c>
      <c r="G42" s="40">
        <f t="shared" si="61"/>
        <v>0.26379842459683595</v>
      </c>
      <c r="H42" s="40">
        <f t="shared" si="61"/>
        <v>0.26379842459683595</v>
      </c>
      <c r="I42" s="40">
        <f t="shared" si="61"/>
        <v>0.26379842459683595</v>
      </c>
    </row>
    <row r="43" spans="1:18" x14ac:dyDescent="0.3">
      <c r="A43" s="39" t="s">
        <v>122</v>
      </c>
      <c r="B43" s="40">
        <f>B37/B35</f>
        <v>0.31144193556046251</v>
      </c>
      <c r="C43" s="40">
        <f t="shared" ref="C43:D43" si="62">C37/C35</f>
        <v>0.30675969346906096</v>
      </c>
      <c r="D43" s="40">
        <f t="shared" si="62"/>
        <v>0.34702276707530649</v>
      </c>
      <c r="E43" s="40">
        <f>AVERAGE($B$43:$D$43)</f>
        <v>0.32174146536827664</v>
      </c>
      <c r="F43" s="40">
        <f t="shared" ref="F43:I43" si="63">AVERAGE($B$43:$D$43)</f>
        <v>0.32174146536827664</v>
      </c>
      <c r="G43" s="40">
        <f t="shared" si="63"/>
        <v>0.32174146536827664</v>
      </c>
      <c r="H43" s="40">
        <f t="shared" si="63"/>
        <v>0.32174146536827664</v>
      </c>
      <c r="I43" s="40">
        <f t="shared" si="63"/>
        <v>0.32174146536827664</v>
      </c>
    </row>
    <row r="44" spans="1:18" x14ac:dyDescent="0.3">
      <c r="B44" s="80"/>
      <c r="C44" s="80"/>
      <c r="D44" s="80"/>
      <c r="E44" s="80"/>
      <c r="F44" s="80"/>
      <c r="G44" s="80"/>
      <c r="H44" s="80"/>
      <c r="I44" s="80"/>
    </row>
    <row r="46" spans="1:18" x14ac:dyDescent="0.3">
      <c r="A46" s="27"/>
      <c r="B46" s="27"/>
      <c r="C46" s="27"/>
      <c r="D46" s="27"/>
      <c r="E46" s="27"/>
      <c r="F46" s="27"/>
      <c r="G46" s="27"/>
      <c r="H46" s="27"/>
      <c r="I46" s="27"/>
      <c r="J46" s="27"/>
    </row>
    <row r="47" spans="1:18" x14ac:dyDescent="0.3">
      <c r="A47" s="28" t="s">
        <v>123</v>
      </c>
      <c r="B47" s="29"/>
      <c r="C47" s="29"/>
      <c r="D47" s="29"/>
      <c r="E47" s="29"/>
      <c r="F47" s="30"/>
      <c r="G47" s="30"/>
      <c r="H47" s="30"/>
      <c r="I47" s="30"/>
      <c r="J47" s="30"/>
    </row>
    <row r="48" spans="1:18" x14ac:dyDescent="0.3">
      <c r="A48" s="89" t="s">
        <v>92</v>
      </c>
      <c r="B48" s="90" t="s">
        <v>130</v>
      </c>
      <c r="C48" s="90">
        <v>45122</v>
      </c>
      <c r="D48" s="90">
        <v>45489</v>
      </c>
      <c r="E48" s="90">
        <v>45856</v>
      </c>
      <c r="F48" s="88">
        <v>46223</v>
      </c>
      <c r="G48" s="88">
        <v>46590</v>
      </c>
      <c r="H48" s="88">
        <v>46957</v>
      </c>
      <c r="I48" s="88">
        <v>47324</v>
      </c>
      <c r="J48" s="88">
        <v>47691</v>
      </c>
    </row>
    <row r="49" spans="1:16" x14ac:dyDescent="0.3">
      <c r="A49" s="91" t="s">
        <v>30</v>
      </c>
      <c r="B49" s="92">
        <v>28184</v>
      </c>
      <c r="C49" s="92">
        <v>29508</v>
      </c>
      <c r="D49" s="92">
        <v>33410</v>
      </c>
      <c r="E49" s="92">
        <v>39777</v>
      </c>
      <c r="F49" s="97">
        <f>F61*F64/360</f>
        <v>35821.887344086776</v>
      </c>
      <c r="G49" s="97">
        <f t="shared" ref="G49:J49" si="64">G61*G64/360</f>
        <v>37433.872274570676</v>
      </c>
      <c r="H49" s="97">
        <f t="shared" si="64"/>
        <v>39118.39652692635</v>
      </c>
      <c r="I49" s="97">
        <f t="shared" si="64"/>
        <v>40878.72437063804</v>
      </c>
      <c r="J49" s="97">
        <f t="shared" si="64"/>
        <v>42718.26696731674</v>
      </c>
    </row>
    <row r="50" spans="1:16" x14ac:dyDescent="0.3">
      <c r="A50" s="91" t="s">
        <v>32</v>
      </c>
      <c r="B50" s="92">
        <v>4946</v>
      </c>
      <c r="C50" s="92">
        <v>6331</v>
      </c>
      <c r="D50" s="92">
        <v>7286</v>
      </c>
      <c r="E50" s="92">
        <v>5718</v>
      </c>
      <c r="F50" s="96">
        <f>F61*F65 /360</f>
        <v>6679.1300535618066</v>
      </c>
      <c r="G50" s="96">
        <f t="shared" ref="G50:J50" si="65">G61*G65 /360</f>
        <v>6979.6909059720874</v>
      </c>
      <c r="H50" s="96">
        <f t="shared" si="65"/>
        <v>7293.7769967408303</v>
      </c>
      <c r="I50" s="96">
        <f t="shared" si="65"/>
        <v>7621.9969615941673</v>
      </c>
      <c r="J50" s="96">
        <f t="shared" si="65"/>
        <v>7964.9868248659041</v>
      </c>
    </row>
    <row r="51" spans="1:16" x14ac:dyDescent="0.3">
      <c r="A51" s="93" t="s">
        <v>33</v>
      </c>
      <c r="B51" s="92">
        <v>21223</v>
      </c>
      <c r="C51" s="92">
        <v>14695</v>
      </c>
      <c r="D51" s="92">
        <v>14287</v>
      </c>
      <c r="E51" s="92">
        <v>14585</v>
      </c>
      <c r="F51" s="96">
        <f>F68*F61</f>
        <v>17802.497984111524</v>
      </c>
      <c r="G51" s="96">
        <f t="shared" ref="G51:J51" si="66">G68*G61</f>
        <v>18603.610393396542</v>
      </c>
      <c r="H51" s="96">
        <f t="shared" si="66"/>
        <v>19440.772861099384</v>
      </c>
      <c r="I51" s="96">
        <f t="shared" si="66"/>
        <v>20315.607639848855</v>
      </c>
      <c r="J51" s="96">
        <f t="shared" si="66"/>
        <v>21229.809983642052</v>
      </c>
    </row>
    <row r="52" spans="1:16" x14ac:dyDescent="0.3">
      <c r="A52" s="91" t="s">
        <v>34</v>
      </c>
      <c r="B52" s="92">
        <f>SUM(B49:B51)</f>
        <v>54353</v>
      </c>
      <c r="C52" s="92">
        <f t="shared" ref="C52:J52" si="67">SUM(C49:C51)</f>
        <v>50534</v>
      </c>
      <c r="D52" s="92">
        <f t="shared" si="67"/>
        <v>54983</v>
      </c>
      <c r="E52" s="92">
        <f t="shared" si="67"/>
        <v>60080</v>
      </c>
      <c r="F52" s="92">
        <f t="shared" si="67"/>
        <v>60303.515381760109</v>
      </c>
      <c r="G52" s="92">
        <f t="shared" si="67"/>
        <v>63017.173573939304</v>
      </c>
      <c r="H52" s="92">
        <f t="shared" si="67"/>
        <v>65852.946384766561</v>
      </c>
      <c r="I52" s="92">
        <f t="shared" si="67"/>
        <v>68816.328972081057</v>
      </c>
      <c r="J52" s="92">
        <f t="shared" si="67"/>
        <v>71913.063775824703</v>
      </c>
    </row>
    <row r="53" spans="1:16" x14ac:dyDescent="0.3">
      <c r="A53" s="89"/>
      <c r="B53" s="89"/>
      <c r="C53" s="89"/>
      <c r="D53" s="89"/>
      <c r="E53" s="89"/>
      <c r="F53" s="98"/>
      <c r="G53" s="98"/>
      <c r="H53" s="98"/>
      <c r="I53" s="98"/>
      <c r="J53" s="98"/>
      <c r="M53">
        <v>64115000000</v>
      </c>
      <c r="N53">
        <v>62611000000</v>
      </c>
      <c r="O53">
        <v>68960000000</v>
      </c>
      <c r="P53">
        <v>69860000000</v>
      </c>
    </row>
    <row r="54" spans="1:16" x14ac:dyDescent="0.3">
      <c r="A54" s="47" t="s">
        <v>41</v>
      </c>
      <c r="B54" s="77">
        <f>M53/1000000</f>
        <v>64115</v>
      </c>
      <c r="C54" s="77">
        <f t="shared" ref="C54:E54" si="68">N53/1000000</f>
        <v>62611</v>
      </c>
      <c r="D54" s="77">
        <f t="shared" si="68"/>
        <v>68960</v>
      </c>
      <c r="E54" s="77">
        <f t="shared" si="68"/>
        <v>69860</v>
      </c>
      <c r="F54" s="41">
        <f>F62*F66 / 360</f>
        <v>72149.334843956531</v>
      </c>
      <c r="G54" s="41">
        <f t="shared" ref="G54:J54" si="69">G62*G66 / 360</f>
        <v>75396.054911934567</v>
      </c>
      <c r="H54" s="41">
        <f t="shared" si="69"/>
        <v>78788.877382971623</v>
      </c>
      <c r="I54" s="41">
        <f t="shared" si="69"/>
        <v>82334.376865205355</v>
      </c>
      <c r="J54" s="41">
        <f t="shared" si="69"/>
        <v>86039.423824139565</v>
      </c>
      <c r="M54">
        <v>60845000000</v>
      </c>
      <c r="N54">
        <v>58829000000</v>
      </c>
      <c r="O54">
        <v>78304000000</v>
      </c>
      <c r="P54">
        <v>66387000000</v>
      </c>
    </row>
    <row r="55" spans="1:16" x14ac:dyDescent="0.3">
      <c r="A55" s="46" t="s">
        <v>42</v>
      </c>
      <c r="B55" s="77">
        <f t="shared" ref="B55:B56" si="70">M54/1000000</f>
        <v>60845</v>
      </c>
      <c r="C55" s="77">
        <f t="shared" ref="C55:C56" si="71">N54/1000000</f>
        <v>58829</v>
      </c>
      <c r="D55" s="77">
        <f t="shared" ref="D55:D56" si="72">O54/1000000</f>
        <v>78304</v>
      </c>
      <c r="E55" s="77">
        <f t="shared" ref="E55:E56" si="73">P54/1000000</f>
        <v>66387</v>
      </c>
      <c r="F55" s="41">
        <f>F62*F70</f>
        <v>71937.790365554072</v>
      </c>
      <c r="G55" s="41">
        <f>G62*G70</f>
        <v>75174.990932004002</v>
      </c>
      <c r="H55" s="41">
        <f>H62*H70</f>
        <v>78557.865523944172</v>
      </c>
      <c r="I55" s="41">
        <f>I62*I70</f>
        <v>82092.969472521669</v>
      </c>
      <c r="J55" s="41">
        <f>J62*J70</f>
        <v>85787.153098785129</v>
      </c>
      <c r="M55">
        <v>7912000000</v>
      </c>
      <c r="N55">
        <v>8061000000</v>
      </c>
      <c r="O55">
        <v>8249000000</v>
      </c>
      <c r="P55">
        <v>9055000000</v>
      </c>
    </row>
    <row r="56" spans="1:16" x14ac:dyDescent="0.3">
      <c r="A56" s="47" t="s">
        <v>43</v>
      </c>
      <c r="B56" s="77">
        <f t="shared" si="70"/>
        <v>7912</v>
      </c>
      <c r="C56" s="77">
        <f t="shared" si="71"/>
        <v>8061</v>
      </c>
      <c r="D56" s="77">
        <f t="shared" si="72"/>
        <v>8249</v>
      </c>
      <c r="E56" s="77">
        <f t="shared" si="73"/>
        <v>9055</v>
      </c>
      <c r="F56" s="77">
        <f>F69*F62</f>
        <v>4951.7134976129864</v>
      </c>
      <c r="G56" s="77">
        <f t="shared" ref="G56:J56" si="74">G69*G62</f>
        <v>5174.5406050055708</v>
      </c>
      <c r="H56" s="77">
        <f t="shared" si="74"/>
        <v>5407.3949322308199</v>
      </c>
      <c r="I56" s="77">
        <f t="shared" si="74"/>
        <v>5650.7277041812076</v>
      </c>
      <c r="J56" s="77">
        <f t="shared" si="74"/>
        <v>5905.0104508693612</v>
      </c>
      <c r="M56">
        <v>9982000000</v>
      </c>
      <c r="N56">
        <v>5985000000</v>
      </c>
      <c r="O56">
        <v>9967000000</v>
      </c>
      <c r="P56">
        <v>7979000000</v>
      </c>
    </row>
    <row r="57" spans="1:16" x14ac:dyDescent="0.3">
      <c r="A57" t="s">
        <v>124</v>
      </c>
      <c r="B57" s="2">
        <f>SUM(B54:B56)</f>
        <v>132872</v>
      </c>
      <c r="C57" s="2">
        <f t="shared" ref="C57:J57" si="75">SUM(C54:C56)</f>
        <v>129501</v>
      </c>
      <c r="D57" s="2">
        <f t="shared" si="75"/>
        <v>155513</v>
      </c>
      <c r="E57" s="2">
        <f t="shared" si="75"/>
        <v>145302</v>
      </c>
      <c r="F57" s="2">
        <f t="shared" si="75"/>
        <v>149038.83870712359</v>
      </c>
      <c r="G57" s="2">
        <f t="shared" si="75"/>
        <v>155745.58644894414</v>
      </c>
      <c r="H57" s="2">
        <f t="shared" si="75"/>
        <v>162754.1378391466</v>
      </c>
      <c r="I57" s="2">
        <f t="shared" si="75"/>
        <v>170078.07404190826</v>
      </c>
      <c r="J57" s="2">
        <f t="shared" si="75"/>
        <v>177731.58737379406</v>
      </c>
    </row>
    <row r="58" spans="1:16" x14ac:dyDescent="0.3">
      <c r="A58" s="27"/>
      <c r="B58" s="27"/>
      <c r="C58" s="27"/>
      <c r="D58" s="27"/>
      <c r="E58" s="27"/>
      <c r="F58" s="27"/>
      <c r="G58" s="27"/>
      <c r="H58" s="27"/>
      <c r="I58" s="27"/>
      <c r="J58" s="27"/>
    </row>
    <row r="59" spans="1:16" x14ac:dyDescent="0.3">
      <c r="A59" s="28" t="s">
        <v>111</v>
      </c>
      <c r="B59" s="29"/>
      <c r="C59" s="29"/>
      <c r="D59" s="29"/>
      <c r="E59" s="29"/>
      <c r="F59" s="30"/>
      <c r="G59" s="30"/>
      <c r="H59" s="30"/>
      <c r="I59" s="30"/>
      <c r="J59" s="30"/>
    </row>
    <row r="60" spans="1:16" x14ac:dyDescent="0.3">
      <c r="A60" s="39" t="s">
        <v>92</v>
      </c>
      <c r="B60" s="29">
        <v>44757</v>
      </c>
      <c r="C60" s="29">
        <v>45122</v>
      </c>
      <c r="D60" s="29">
        <v>45489</v>
      </c>
      <c r="E60" s="29">
        <v>45856</v>
      </c>
      <c r="F60" s="29">
        <v>46223</v>
      </c>
      <c r="G60" s="29">
        <v>46590</v>
      </c>
      <c r="H60" s="29">
        <v>46957</v>
      </c>
      <c r="I60" s="29">
        <v>47324</v>
      </c>
      <c r="J60" s="29">
        <v>47691</v>
      </c>
    </row>
    <row r="61" spans="1:16" x14ac:dyDescent="0.3">
      <c r="A61" s="39" t="s">
        <v>93</v>
      </c>
      <c r="B61" s="86">
        <f>394328000000/1000000</f>
        <v>394328</v>
      </c>
      <c r="C61" s="86">
        <f>B3</f>
        <v>383285</v>
      </c>
      <c r="D61" s="86">
        <f t="shared" ref="D61:J61" si="76">C3</f>
        <v>391035</v>
      </c>
      <c r="E61" s="86">
        <f t="shared" si="76"/>
        <v>416161</v>
      </c>
      <c r="F61" s="86">
        <f t="shared" si="76"/>
        <v>434888.245</v>
      </c>
      <c r="G61" s="86">
        <f t="shared" si="76"/>
        <v>454458.21602499997</v>
      </c>
      <c r="H61" s="86">
        <f t="shared" si="76"/>
        <v>474908.83574612491</v>
      </c>
      <c r="I61" s="86">
        <f t="shared" si="76"/>
        <v>496279.7333547005</v>
      </c>
      <c r="J61" s="86">
        <f t="shared" si="76"/>
        <v>518612.32135566196</v>
      </c>
    </row>
    <row r="62" spans="1:16" x14ac:dyDescent="0.3">
      <c r="A62" s="39" t="s">
        <v>94</v>
      </c>
      <c r="B62" s="39">
        <f>223546000000/1000000</f>
        <v>223546</v>
      </c>
      <c r="C62" s="86">
        <f>B4</f>
        <v>214137</v>
      </c>
      <c r="D62" s="86">
        <f t="shared" ref="D62:J62" si="77">C4</f>
        <v>210352</v>
      </c>
      <c r="E62" s="86">
        <f t="shared" si="77"/>
        <v>220960</v>
      </c>
      <c r="F62" s="86">
        <f t="shared" si="77"/>
        <v>235937.53709765815</v>
      </c>
      <c r="G62" s="86">
        <f t="shared" si="77"/>
        <v>246554.72626705276</v>
      </c>
      <c r="H62" s="86">
        <f t="shared" si="77"/>
        <v>257649.68894907009</v>
      </c>
      <c r="I62" s="86">
        <f t="shared" si="77"/>
        <v>269243.92495177826</v>
      </c>
      <c r="J62" s="86">
        <f t="shared" si="77"/>
        <v>281359.90157460823</v>
      </c>
    </row>
    <row r="63" spans="1:16" x14ac:dyDescent="0.3">
      <c r="A63" s="39"/>
      <c r="B63" s="87"/>
      <c r="C63" s="87"/>
      <c r="D63" s="87"/>
      <c r="E63" s="87"/>
      <c r="F63" s="87"/>
      <c r="G63" s="87"/>
      <c r="H63" s="87"/>
      <c r="I63" s="87"/>
      <c r="J63" s="87"/>
    </row>
    <row r="64" spans="1:16" x14ac:dyDescent="0.3">
      <c r="A64" s="39" t="s">
        <v>125</v>
      </c>
      <c r="B64" s="87">
        <f>B49/B61 * 360</f>
        <v>25.730457892921628</v>
      </c>
      <c r="C64" s="87">
        <f>C49/C61 * 360</f>
        <v>27.715355414378333</v>
      </c>
      <c r="D64" s="87">
        <f>D49/D61 * 360</f>
        <v>30.758372012735435</v>
      </c>
      <c r="E64" s="87">
        <f>E49/E61 * 360</f>
        <v>34.409086867822793</v>
      </c>
      <c r="F64" s="87">
        <f>AVERAGE($B64:$E64)</f>
        <v>29.653318046964547</v>
      </c>
      <c r="G64" s="87">
        <f t="shared" ref="G64:J65" si="78">AVERAGE($B64:$E64)</f>
        <v>29.653318046964547</v>
      </c>
      <c r="H64" s="87">
        <f t="shared" si="78"/>
        <v>29.653318046964547</v>
      </c>
      <c r="I64" s="87">
        <f t="shared" si="78"/>
        <v>29.653318046964547</v>
      </c>
      <c r="J64" s="87">
        <f t="shared" si="78"/>
        <v>29.653318046964547</v>
      </c>
    </row>
    <row r="65" spans="1:10" x14ac:dyDescent="0.3">
      <c r="A65" s="39" t="s">
        <v>126</v>
      </c>
      <c r="B65" s="87">
        <f>(B50/B61 )*360</f>
        <v>4.5154287801018445</v>
      </c>
      <c r="C65" s="87">
        <f>(C50/C61 )*360</f>
        <v>5.9463845441381746</v>
      </c>
      <c r="D65" s="87">
        <f>(D50/D61 )*360</f>
        <v>6.7077371590778325</v>
      </c>
      <c r="E65" s="87">
        <f>(E50/E61 )*360</f>
        <v>4.946354896302152</v>
      </c>
      <c r="F65" s="87">
        <f>AVERAGE($B65:$E65)</f>
        <v>5.5289763449050007</v>
      </c>
      <c r="G65" s="87">
        <f t="shared" si="78"/>
        <v>5.5289763449050007</v>
      </c>
      <c r="H65" s="87">
        <f t="shared" si="78"/>
        <v>5.5289763449050007</v>
      </c>
      <c r="I65" s="87">
        <f t="shared" si="78"/>
        <v>5.5289763449050007</v>
      </c>
      <c r="J65" s="87">
        <f t="shared" si="78"/>
        <v>5.5289763449050007</v>
      </c>
    </row>
    <row r="66" spans="1:10" x14ac:dyDescent="0.3">
      <c r="A66" s="39" t="s">
        <v>127</v>
      </c>
      <c r="B66" s="87">
        <f>(B54/B62) * 360</f>
        <v>103.25123240854231</v>
      </c>
      <c r="C66" s="87">
        <f>C54/C62 * 360</f>
        <v>105.25953011389905</v>
      </c>
      <c r="D66" s="87">
        <f>D54/D62 * 360</f>
        <v>118.01931999695748</v>
      </c>
      <c r="E66" s="87">
        <f>E54/E62 * 360</f>
        <v>113.81969587255612</v>
      </c>
      <c r="F66" s="87">
        <f t="shared" ref="F66:J66" si="79">AVERAGE($B66:$E66)</f>
        <v>110.08744459798874</v>
      </c>
      <c r="G66" s="87">
        <f t="shared" si="79"/>
        <v>110.08744459798874</v>
      </c>
      <c r="H66" s="87">
        <f t="shared" si="79"/>
        <v>110.08744459798874</v>
      </c>
      <c r="I66" s="87">
        <f t="shared" si="79"/>
        <v>110.08744459798874</v>
      </c>
      <c r="J66" s="87">
        <f t="shared" si="79"/>
        <v>110.08744459798874</v>
      </c>
    </row>
    <row r="67" spans="1:10" x14ac:dyDescent="0.3">
      <c r="A67" s="39"/>
      <c r="B67" s="40"/>
      <c r="C67" s="40"/>
      <c r="D67" s="40"/>
      <c r="E67" s="40"/>
      <c r="F67" s="40"/>
      <c r="G67" s="40"/>
      <c r="H67" s="40"/>
      <c r="I67" s="40"/>
      <c r="J67" s="40"/>
    </row>
    <row r="68" spans="1:10" x14ac:dyDescent="0.3">
      <c r="A68" s="39" t="s">
        <v>128</v>
      </c>
      <c r="B68" s="40">
        <f>B51/B61</f>
        <v>5.3820677202734778E-2</v>
      </c>
      <c r="C68" s="40">
        <f>C51/C61</f>
        <v>3.8339616734283891E-2</v>
      </c>
      <c r="D68" s="40">
        <f>D51/D61</f>
        <v>3.6536371424552787E-2</v>
      </c>
      <c r="E68" s="40">
        <f>E51/E61</f>
        <v>3.5046532471807786E-2</v>
      </c>
      <c r="F68" s="101">
        <f>AVERAGE($B68:$E68)</f>
        <v>4.0935799458344808E-2</v>
      </c>
      <c r="G68" s="101">
        <f t="shared" ref="G68:J69" si="80">AVERAGE($B68:$E68)</f>
        <v>4.0935799458344808E-2</v>
      </c>
      <c r="H68" s="101">
        <f t="shared" si="80"/>
        <v>4.0935799458344808E-2</v>
      </c>
      <c r="I68" s="101">
        <f t="shared" si="80"/>
        <v>4.0935799458344808E-2</v>
      </c>
      <c r="J68" s="101">
        <f t="shared" si="80"/>
        <v>4.0935799458344808E-2</v>
      </c>
    </row>
    <row r="69" spans="1:10" x14ac:dyDescent="0.3">
      <c r="A69" s="39" t="s">
        <v>132</v>
      </c>
      <c r="B69" s="40">
        <f>B56/B61</f>
        <v>2.0064514820149724E-2</v>
      </c>
      <c r="C69" s="40">
        <f t="shared" ref="C69:E69" si="81">C56/C61</f>
        <v>2.1031347430763011E-2</v>
      </c>
      <c r="D69" s="40">
        <f t="shared" si="81"/>
        <v>2.1095298374825783E-2</v>
      </c>
      <c r="E69" s="40">
        <f t="shared" si="81"/>
        <v>2.1758406001523449E-2</v>
      </c>
      <c r="F69" s="101">
        <f>AVERAGE($B69:$E69)</f>
        <v>2.0987391656815492E-2</v>
      </c>
      <c r="G69" s="101">
        <f t="shared" si="80"/>
        <v>2.0987391656815492E-2</v>
      </c>
      <c r="H69" s="101">
        <f t="shared" si="80"/>
        <v>2.0987391656815492E-2</v>
      </c>
      <c r="I69" s="101">
        <f t="shared" si="80"/>
        <v>2.0987391656815492E-2</v>
      </c>
      <c r="J69" s="101">
        <f t="shared" si="80"/>
        <v>2.0987391656815492E-2</v>
      </c>
    </row>
    <row r="70" spans="1:10" x14ac:dyDescent="0.3">
      <c r="A70" s="27" t="s">
        <v>129</v>
      </c>
      <c r="B70" s="100">
        <f>B55/B62</f>
        <v>0.27218111708552156</v>
      </c>
      <c r="C70" s="100">
        <f>C55/C62</f>
        <v>0.27472599317259511</v>
      </c>
      <c r="D70" s="100">
        <f>D55/D62</f>
        <v>0.3722522248421693</v>
      </c>
      <c r="E70" s="100">
        <f>E55/E62</f>
        <v>0.3004480448950036</v>
      </c>
      <c r="F70" s="99">
        <f>AVERAGE($B70:$E70)</f>
        <v>0.30490184499882239</v>
      </c>
      <c r="G70" s="99">
        <f t="shared" ref="G70:J70" si="82">AVERAGE($B70:$E70)</f>
        <v>0.30490184499882239</v>
      </c>
      <c r="H70" s="99">
        <f t="shared" si="82"/>
        <v>0.30490184499882239</v>
      </c>
      <c r="I70" s="99">
        <f t="shared" si="82"/>
        <v>0.30490184499882239</v>
      </c>
      <c r="J70" s="99">
        <f t="shared" si="82"/>
        <v>0.30490184499882239</v>
      </c>
    </row>
    <row r="71" spans="1:10" x14ac:dyDescent="0.3">
      <c r="A71" s="28"/>
      <c r="B71" s="29"/>
      <c r="C71" s="29"/>
      <c r="D71" s="29"/>
      <c r="E71" s="29"/>
      <c r="F71" s="30"/>
      <c r="G71" s="30"/>
      <c r="H71" s="30"/>
      <c r="I71" s="30"/>
      <c r="J71" s="30"/>
    </row>
    <row r="72" spans="1:10" x14ac:dyDescent="0.3">
      <c r="A72" s="76"/>
      <c r="B72" s="77"/>
      <c r="C72" s="77"/>
      <c r="D72" s="77"/>
      <c r="E72" s="77"/>
      <c r="F72" s="77"/>
      <c r="G72" s="77"/>
      <c r="H72" s="77"/>
      <c r="I72" s="77"/>
      <c r="J72" s="77"/>
    </row>
  </sheetData>
  <mergeCells count="3">
    <mergeCell ref="B25:C25"/>
    <mergeCell ref="K23:R23"/>
    <mergeCell ref="K24:R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84B7-3416-4531-A88E-F13AC4FAB6C4}">
  <dimension ref="A2:B18"/>
  <sheetViews>
    <sheetView workbookViewId="0">
      <selection activeCell="B25" sqref="B25:B26"/>
    </sheetView>
  </sheetViews>
  <sheetFormatPr baseColWidth="10" defaultRowHeight="14.4" x14ac:dyDescent="0.3"/>
  <cols>
    <col min="1" max="1" width="30.44140625" bestFit="1" customWidth="1"/>
    <col min="2" max="2" width="41.109375" style="98" customWidth="1"/>
  </cols>
  <sheetData>
    <row r="2" spans="1:2" x14ac:dyDescent="0.3">
      <c r="A2" s="120" t="s">
        <v>148</v>
      </c>
      <c r="B2" s="121"/>
    </row>
    <row r="3" spans="1:2" x14ac:dyDescent="0.3">
      <c r="A3" s="26" t="s">
        <v>149</v>
      </c>
      <c r="B3" s="107">
        <f>AVERAGE('Balance Sheet'!C35:D35)</f>
        <v>65341.5</v>
      </c>
    </row>
    <row r="4" spans="1:2" x14ac:dyDescent="0.3">
      <c r="A4" s="26" t="s">
        <v>150</v>
      </c>
      <c r="B4" s="41">
        <f>AVERAGE('Balance Sheet'!C21+'Balance Sheet'!C24,'Balance Sheet'!D21+'Balance Sheet'!D24)</f>
        <v>93670</v>
      </c>
    </row>
    <row r="5" spans="1:2" x14ac:dyDescent="0.3">
      <c r="A5" s="26"/>
      <c r="B5" s="108"/>
    </row>
    <row r="6" spans="1:2" x14ac:dyDescent="0.3">
      <c r="A6" s="26" t="s">
        <v>151</v>
      </c>
      <c r="B6" s="114">
        <f>0.027670053385202</f>
        <v>2.7670053385201999E-2</v>
      </c>
    </row>
    <row r="7" spans="1:2" x14ac:dyDescent="0.3">
      <c r="A7" s="26" t="s">
        <v>152</v>
      </c>
      <c r="B7" s="110">
        <f>AVERAGE('INCOME STATEMENT'!B13/'INCOME STATEMENT'!B14,'INCOME STATEMENT'!C13/'INCOME STATEMENT'!C14,'INCOME STATEMENT'!D13/'INCOME STATEMENT'!D14)</f>
        <v>0.22498038067768225</v>
      </c>
    </row>
    <row r="8" spans="1:2" x14ac:dyDescent="0.3">
      <c r="A8" s="26" t="s">
        <v>153</v>
      </c>
      <c r="B8" s="109">
        <f>B4/(B4+B3)</f>
        <v>0.58907689066514057</v>
      </c>
    </row>
    <row r="9" spans="1:2" x14ac:dyDescent="0.3">
      <c r="A9" s="78" t="s">
        <v>154</v>
      </c>
      <c r="B9" s="111">
        <f>(1-B7)*B6</f>
        <v>2.1444834241227465E-2</v>
      </c>
    </row>
    <row r="10" spans="1:2" x14ac:dyDescent="0.3">
      <c r="A10" s="34"/>
      <c r="B10" s="112"/>
    </row>
    <row r="11" spans="1:2" x14ac:dyDescent="0.3">
      <c r="A11" s="26" t="s">
        <v>155</v>
      </c>
      <c r="B11" s="110">
        <v>4.2200000000000001E-2</v>
      </c>
    </row>
    <row r="12" spans="1:2" x14ac:dyDescent="0.3">
      <c r="A12" s="26" t="s">
        <v>156</v>
      </c>
      <c r="B12" s="110">
        <v>0.13220000000000001</v>
      </c>
    </row>
    <row r="13" spans="1:2" x14ac:dyDescent="0.3">
      <c r="A13" s="26" t="s">
        <v>157</v>
      </c>
      <c r="B13" s="109">
        <f>B12-B11</f>
        <v>9.0000000000000011E-2</v>
      </c>
    </row>
    <row r="14" spans="1:2" x14ac:dyDescent="0.3">
      <c r="A14" s="26" t="s">
        <v>158</v>
      </c>
      <c r="B14" s="23">
        <v>1.0900000000000001</v>
      </c>
    </row>
    <row r="15" spans="1:2" x14ac:dyDescent="0.3">
      <c r="A15" s="26" t="s">
        <v>159</v>
      </c>
      <c r="B15" s="109">
        <f>B3/(B4+B3)</f>
        <v>0.41092310933485943</v>
      </c>
    </row>
    <row r="16" spans="1:2" x14ac:dyDescent="0.3">
      <c r="A16" s="78" t="s">
        <v>160</v>
      </c>
      <c r="B16" s="111">
        <f>B11+B14*B13</f>
        <v>0.14030000000000004</v>
      </c>
    </row>
    <row r="17" spans="1:2" x14ac:dyDescent="0.3">
      <c r="A17" s="26"/>
      <c r="B17" s="108"/>
    </row>
    <row r="18" spans="1:2" x14ac:dyDescent="0.3">
      <c r="A18" s="37" t="s">
        <v>139</v>
      </c>
      <c r="B18" s="113">
        <f>B9*B8+B16*B15</f>
        <v>7.0285168515332411E-2</v>
      </c>
    </row>
  </sheetData>
  <mergeCells count="1">
    <mergeCell ref="A2:B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6417-D7AD-4B66-8382-43A805609DD1}">
  <dimension ref="A1:J24"/>
  <sheetViews>
    <sheetView tabSelected="1" workbookViewId="0">
      <selection activeCell="B10" sqref="B10"/>
    </sheetView>
  </sheetViews>
  <sheetFormatPr baseColWidth="10" defaultRowHeight="14.4" x14ac:dyDescent="0.3"/>
  <cols>
    <col min="1" max="1" width="27.88671875" bestFit="1" customWidth="1"/>
    <col min="2" max="2" width="18.33203125" customWidth="1"/>
    <col min="3" max="3" width="12.6640625" bestFit="1" customWidth="1"/>
  </cols>
  <sheetData>
    <row r="1" spans="1:10" x14ac:dyDescent="0.3">
      <c r="A1" s="27" t="s">
        <v>91</v>
      </c>
      <c r="B1" s="27"/>
      <c r="C1" s="27"/>
      <c r="D1" s="27"/>
      <c r="E1" s="27"/>
      <c r="F1" s="27"/>
      <c r="G1" s="27"/>
      <c r="H1" s="27"/>
      <c r="I1" s="27"/>
      <c r="J1" s="27"/>
    </row>
    <row r="2" spans="1:10" x14ac:dyDescent="0.3">
      <c r="A2" s="28" t="s">
        <v>92</v>
      </c>
      <c r="B2" s="29"/>
      <c r="C2" s="29">
        <v>45122</v>
      </c>
      <c r="D2" s="29">
        <v>45489</v>
      </c>
      <c r="E2" s="29">
        <v>45856</v>
      </c>
      <c r="F2" s="29">
        <v>46223</v>
      </c>
      <c r="G2" s="29">
        <v>46590</v>
      </c>
      <c r="H2" s="29">
        <v>46957</v>
      </c>
      <c r="I2" s="29">
        <v>47324</v>
      </c>
      <c r="J2" s="29">
        <v>47691</v>
      </c>
    </row>
    <row r="3" spans="1:10" x14ac:dyDescent="0.3">
      <c r="A3" s="76" t="s">
        <v>110</v>
      </c>
      <c r="B3" s="77"/>
      <c r="C3" s="77">
        <f>PROYECCIONES!B21</f>
        <v>103436</v>
      </c>
      <c r="D3" s="77">
        <f>PROYECCIONES!C21</f>
        <v>62457</v>
      </c>
      <c r="E3" s="77">
        <f>PROYECCIONES!D21</f>
        <v>114924</v>
      </c>
      <c r="F3" s="77">
        <f>PROYECCIONES!E21</f>
        <v>94821.87442202025</v>
      </c>
      <c r="G3" s="77">
        <f>PROYECCIONES!F21</f>
        <v>98639.340434995422</v>
      </c>
      <c r="H3" s="77">
        <f>PROYECCIONES!G21</f>
        <v>102942.85097916305</v>
      </c>
      <c r="I3" s="77">
        <f>PROYECCIONES!H21</f>
        <v>107432.18213513686</v>
      </c>
      <c r="J3" s="77">
        <f>PROYECCIONES!I21</f>
        <v>112115.24170982328</v>
      </c>
    </row>
    <row r="5" spans="1:10" x14ac:dyDescent="0.3">
      <c r="A5" s="76" t="s">
        <v>133</v>
      </c>
      <c r="F5" s="76">
        <v>1</v>
      </c>
      <c r="G5" s="76">
        <v>2</v>
      </c>
      <c r="H5" s="76">
        <v>3</v>
      </c>
      <c r="I5" s="76">
        <v>4</v>
      </c>
      <c r="J5" s="76">
        <v>5</v>
      </c>
    </row>
    <row r="6" spans="1:10" x14ac:dyDescent="0.3">
      <c r="A6" s="78" t="s">
        <v>134</v>
      </c>
      <c r="B6" s="78"/>
      <c r="C6" s="78"/>
      <c r="D6" s="78"/>
      <c r="E6" s="78"/>
      <c r="F6" s="79">
        <f>F3/POWER(1+WACC!$B$18,F5)</f>
        <v>88594.962549611257</v>
      </c>
      <c r="G6" s="79">
        <f>G3/POWER(1+WACC!$B$18,G5)</f>
        <v>86109.515403944475</v>
      </c>
      <c r="H6" s="79">
        <f>H3/POWER(1+WACC!$B$18,H5)</f>
        <v>83964.879698934019</v>
      </c>
      <c r="I6" s="79">
        <f>I3/POWER(1+WACC!$B$18,I5)</f>
        <v>81872.182589526477</v>
      </c>
      <c r="J6" s="79">
        <f>J3/POWER(1+WACC!$B$18,J5)</f>
        <v>79830.182371149305</v>
      </c>
    </row>
    <row r="8" spans="1:10" x14ac:dyDescent="0.3">
      <c r="A8" s="120" t="s">
        <v>135</v>
      </c>
      <c r="B8" s="121"/>
      <c r="D8" s="120" t="s">
        <v>136</v>
      </c>
      <c r="E8" s="121"/>
      <c r="F8" s="121"/>
      <c r="G8" s="121"/>
      <c r="H8" s="121"/>
      <c r="I8" s="121"/>
      <c r="J8" s="121"/>
    </row>
    <row r="9" spans="1:10" x14ac:dyDescent="0.3">
      <c r="A9" s="26" t="s">
        <v>137</v>
      </c>
      <c r="B9" s="77">
        <f>SUM(F6:J6)</f>
        <v>420371.7226131655</v>
      </c>
    </row>
    <row r="10" spans="1:10" x14ac:dyDescent="0.3">
      <c r="A10" s="26" t="s">
        <v>138</v>
      </c>
      <c r="B10" s="123">
        <f>PROYECCIONES!D25</f>
        <v>4.4999999999999998E-2</v>
      </c>
      <c r="D10" s="26"/>
      <c r="E10" s="26"/>
      <c r="F10" s="120" t="s">
        <v>138</v>
      </c>
      <c r="G10" s="121"/>
      <c r="H10" s="121"/>
      <c r="I10" s="121"/>
      <c r="J10" s="121"/>
    </row>
    <row r="11" spans="1:10" x14ac:dyDescent="0.3">
      <c r="A11" s="26" t="s">
        <v>139</v>
      </c>
      <c r="B11" s="80">
        <f>WACC!B18</f>
        <v>7.0285168515332411E-2</v>
      </c>
      <c r="D11" s="26"/>
      <c r="E11" s="81">
        <f>B20</f>
        <v>244.05047662713898</v>
      </c>
      <c r="F11" s="104">
        <f>G11-0.5%</f>
        <v>3.5000000000000003E-2</v>
      </c>
      <c r="G11" s="104">
        <f>H11-0.5%</f>
        <v>0.04</v>
      </c>
      <c r="H11" s="104">
        <v>4.4999999999999998E-2</v>
      </c>
      <c r="I11" s="104">
        <f>H11+0.5%</f>
        <v>4.9999999999999996E-2</v>
      </c>
      <c r="J11" s="104">
        <f>I11+0.5%</f>
        <v>5.4999999999999993E-2</v>
      </c>
    </row>
    <row r="12" spans="1:10" x14ac:dyDescent="0.3">
      <c r="A12" s="26" t="s">
        <v>140</v>
      </c>
      <c r="B12" s="77">
        <f>J3*(1+B10)/(B11-B10)</f>
        <v>4633563.2493697489</v>
      </c>
      <c r="D12" s="122" t="s">
        <v>139</v>
      </c>
      <c r="E12" s="104">
        <f>E13-0.5%</f>
        <v>6.0285168515332409E-2</v>
      </c>
      <c r="F12" s="81">
        <f t="dataTable" ref="F12:J16" dt2D="1" dtr="1" r1="B10" r2="B11"/>
        <v>252.41168613763099</v>
      </c>
      <c r="G12" s="81">
        <v>310.0448171538896</v>
      </c>
      <c r="H12" s="81">
        <v>405.38321190894646</v>
      </c>
      <c r="I12" s="81">
        <v>593.41663116742598</v>
      </c>
      <c r="J12" s="81">
        <v>1137.2256869320822</v>
      </c>
    </row>
    <row r="13" spans="1:10" x14ac:dyDescent="0.3">
      <c r="A13" s="26" t="s">
        <v>141</v>
      </c>
      <c r="B13" s="77">
        <f>B12/POWER(1+B11,J5)</f>
        <v>3299267.7318826364</v>
      </c>
      <c r="C13" s="77"/>
      <c r="D13" s="121"/>
      <c r="E13" s="104">
        <f>E14-0.5%</f>
        <v>6.5285168515332406E-2</v>
      </c>
      <c r="F13" s="81">
        <v>210.29900532007196</v>
      </c>
      <c r="G13" s="105">
        <v>248.18232796598929</v>
      </c>
      <c r="H13" s="105">
        <v>304.74103041823315</v>
      </c>
      <c r="I13" s="105">
        <v>398.30207432030187</v>
      </c>
      <c r="J13" s="81">
        <v>582.83007103660441</v>
      </c>
    </row>
    <row r="14" spans="1:10" x14ac:dyDescent="0.3">
      <c r="A14" s="26" t="s">
        <v>142</v>
      </c>
      <c r="B14" s="77">
        <f>B13+B9</f>
        <v>3719639.4544958021</v>
      </c>
      <c r="D14" s="121"/>
      <c r="E14" s="104">
        <v>7.0285168515332411E-2</v>
      </c>
      <c r="F14" s="81">
        <v>180.22686877865334</v>
      </c>
      <c r="G14" s="105">
        <v>206.87011956473435</v>
      </c>
      <c r="H14" s="106">
        <v>244.05047662713898</v>
      </c>
      <c r="I14" s="105">
        <v>299.55967184255286</v>
      </c>
      <c r="J14" s="81">
        <v>391.38459047294452</v>
      </c>
    </row>
    <row r="15" spans="1:10" x14ac:dyDescent="0.3">
      <c r="A15" s="36" t="s">
        <v>143</v>
      </c>
      <c r="B15" s="77">
        <f>'Balance Sheet'!D3</f>
        <v>35934</v>
      </c>
      <c r="D15" s="121"/>
      <c r="E15" s="104">
        <f>E14+0.5%</f>
        <v>7.5285168515332415E-2</v>
      </c>
      <c r="F15" s="81">
        <v>157.70905192419133</v>
      </c>
      <c r="G15" s="105">
        <v>177.36868595829412</v>
      </c>
      <c r="H15" s="105">
        <v>203.51982557016831</v>
      </c>
      <c r="I15" s="105">
        <v>240.01344701917824</v>
      </c>
      <c r="J15" s="81">
        <v>294.49736587263243</v>
      </c>
    </row>
    <row r="16" spans="1:10" x14ac:dyDescent="0.3">
      <c r="A16" s="36" t="s">
        <v>144</v>
      </c>
      <c r="B16" s="77">
        <f>-WACC!B4</f>
        <v>-93670</v>
      </c>
      <c r="D16" s="121"/>
      <c r="E16" s="104">
        <f>E15+0.5%</f>
        <v>8.028516851533242E-2</v>
      </c>
      <c r="F16" s="81">
        <v>140.24074930410455</v>
      </c>
      <c r="G16" s="81">
        <v>155.27745171634893</v>
      </c>
      <c r="H16" s="81">
        <v>174.57563368074864</v>
      </c>
      <c r="I16" s="81">
        <v>200.2459716906495</v>
      </c>
      <c r="J16" s="81">
        <v>236.06863990722269</v>
      </c>
    </row>
    <row r="17" spans="1:3" x14ac:dyDescent="0.3">
      <c r="A17" s="36" t="s">
        <v>145</v>
      </c>
      <c r="B17" s="77"/>
    </row>
    <row r="18" spans="1:3" x14ac:dyDescent="0.3">
      <c r="A18" s="82" t="s">
        <v>146</v>
      </c>
      <c r="B18" s="83">
        <f>SUM(B14:B17)*1000000</f>
        <v>3661903454495.8022</v>
      </c>
    </row>
    <row r="19" spans="1:3" x14ac:dyDescent="0.3">
      <c r="A19" s="26" t="s">
        <v>161</v>
      </c>
      <c r="B19" s="85">
        <v>15004697000</v>
      </c>
    </row>
    <row r="20" spans="1:3" x14ac:dyDescent="0.3">
      <c r="A20" s="37" t="s">
        <v>147</v>
      </c>
      <c r="B20" s="84">
        <f>B18/B19</f>
        <v>244.05047662713898</v>
      </c>
    </row>
    <row r="21" spans="1:3" ht="15.6" customHeight="1" x14ac:dyDescent="0.3"/>
    <row r="22" spans="1:3" x14ac:dyDescent="0.3">
      <c r="A22" s="125" t="s">
        <v>162</v>
      </c>
      <c r="B22" s="125" t="s">
        <v>164</v>
      </c>
      <c r="C22" s="125" t="s">
        <v>163</v>
      </c>
    </row>
    <row r="23" spans="1:3" x14ac:dyDescent="0.3">
      <c r="A23" s="126" t="s">
        <v>112</v>
      </c>
      <c r="B23" s="127">
        <v>3.27E-2</v>
      </c>
      <c r="C23" s="128">
        <v>0.05</v>
      </c>
    </row>
    <row r="24" spans="1:3" x14ac:dyDescent="0.3">
      <c r="A24" s="124" t="s">
        <v>147</v>
      </c>
      <c r="B24" s="126">
        <v>161.72999999999999</v>
      </c>
      <c r="C24" s="126">
        <v>306.05</v>
      </c>
    </row>
  </sheetData>
  <mergeCells count="4">
    <mergeCell ref="A8:B8"/>
    <mergeCell ref="D8:J8"/>
    <mergeCell ref="F10:J10"/>
    <mergeCell ref="D12:D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INCOME STATEMENT</vt:lpstr>
      <vt:lpstr>Balance Sheet</vt:lpstr>
      <vt:lpstr>CASH FLOW</vt:lpstr>
      <vt:lpstr>PROYECCIONES</vt:lpstr>
      <vt:lpstr>WACC</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Anival Orbegoso</dc:creator>
  <cp:lastModifiedBy>Anival Orbegoso</cp:lastModifiedBy>
  <dcterms:created xsi:type="dcterms:W3CDTF">2026-01-27T14:28:02Z</dcterms:created>
  <dcterms:modified xsi:type="dcterms:W3CDTF">2026-01-29T22:05:30Z</dcterms:modified>
</cp:coreProperties>
</file>